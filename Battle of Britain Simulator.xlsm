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4seves22a\Downloads\"/>
    </mc:Choice>
  </mc:AlternateContent>
  <xr:revisionPtr revIDLastSave="0" documentId="13_ncr:1_{DDE30144-5CB7-4D18-8A5B-6C606172502E}" xr6:coauthVersionLast="47" xr6:coauthVersionMax="47" xr10:uidLastSave="{00000000-0000-0000-0000-000000000000}"/>
  <bookViews>
    <workbookView xWindow="0" yWindow="12" windowWidth="23040" windowHeight="12228" xr2:uid="{00000000-000D-0000-FFFF-FFFF00000000}"/>
  </bookViews>
  <sheets>
    <sheet name="Simulator" sheetId="4" r:id="rId1"/>
    <sheet name="Planes" sheetId="2" r:id="rId2"/>
    <sheet name="Machine Guns" sheetId="1" r:id="rId3"/>
    <sheet name="%toHit" sheetId="6" r:id="rId4"/>
    <sheet name="Formulas" sheetId="3" r:id="rId5"/>
    <sheet name="Data Validation" sheetId="5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8" i="4" l="1"/>
  <c r="D27" i="4" s="1"/>
  <c r="R7" i="4"/>
  <c r="P7" i="4"/>
  <c r="P6" i="4"/>
  <c r="P5" i="4"/>
  <c r="T7" i="4"/>
  <c r="T6" i="4"/>
  <c r="T5" i="4"/>
  <c r="J7" i="4"/>
  <c r="H8" i="4"/>
  <c r="D11" i="4" s="1"/>
  <c r="H7" i="4"/>
  <c r="H6" i="4"/>
  <c r="H5" i="4"/>
  <c r="L7" i="4"/>
  <c r="L6" i="4"/>
  <c r="L5" i="4"/>
  <c r="D26" i="4"/>
  <c r="D29" i="4" s="1"/>
  <c r="D25" i="4"/>
  <c r="D24" i="4"/>
  <c r="D23" i="4"/>
  <c r="D10" i="4"/>
  <c r="D13" i="4" s="1"/>
  <c r="D9" i="4"/>
  <c r="D8" i="4"/>
  <c r="D7" i="4"/>
  <c r="T4" i="4" l="1"/>
  <c r="L4" i="4"/>
  <c r="D32" i="4"/>
  <c r="D16" i="4"/>
</calcChain>
</file>

<file path=xl/sharedStrings.xml><?xml version="1.0" encoding="utf-8"?>
<sst xmlns="http://schemas.openxmlformats.org/spreadsheetml/2006/main" count="156" uniqueCount="121">
  <si>
    <t>Battle of Britain Dog Fight Battle Simulator</t>
  </si>
  <si>
    <t>Modifiers</t>
  </si>
  <si>
    <t>Battle Log</t>
  </si>
  <si>
    <t>Pursuer</t>
  </si>
  <si>
    <t>Pursuit Plane:</t>
  </si>
  <si>
    <t>Bicho</t>
  </si>
  <si>
    <t>Total HP:</t>
  </si>
  <si>
    <t>Evader Plane:</t>
  </si>
  <si>
    <t>Air Tank</t>
  </si>
  <si>
    <t>----------------------------------------------------------------------------------</t>
  </si>
  <si>
    <t>Gun:</t>
  </si>
  <si>
    <t>Needle</t>
  </si>
  <si>
    <t>Wing HP:</t>
  </si>
  <si>
    <t>Fuselage HP:</t>
  </si>
  <si>
    <t>P1 HP:</t>
  </si>
  <si>
    <t>P2 HP:</t>
  </si>
  <si>
    <t>Wing Armor:</t>
  </si>
  <si>
    <t>Fuselage Armor:</t>
  </si>
  <si>
    <t>P1 Wing HP:</t>
  </si>
  <si>
    <t>P2 Wing HP:</t>
  </si>
  <si>
    <t>Damage:</t>
  </si>
  <si>
    <t>Visible Area:</t>
  </si>
  <si>
    <t>Crit %:</t>
  </si>
  <si>
    <t>Speed:</t>
  </si>
  <si>
    <t>P1 Fuselage HP:</t>
  </si>
  <si>
    <t>P2 Fuselage HP:</t>
  </si>
  <si>
    <t>Fire Rate:</t>
  </si>
  <si>
    <t>Gun Mounts:</t>
  </si>
  <si>
    <t>Rear Guns Mounts:</t>
  </si>
  <si>
    <t>&lt;--- Will shoot back during the behind POV!</t>
  </si>
  <si>
    <t>P1 Wing Armor:</t>
  </si>
  <si>
    <t>P2 Wing Armor:</t>
  </si>
  <si>
    <t>Range:</t>
  </si>
  <si>
    <t>P1 Fuselage Armor:</t>
  </si>
  <si>
    <t>P2 Fuselage Armor:</t>
  </si>
  <si>
    <t>Spread:</t>
  </si>
  <si>
    <t>Ammo Capacity:</t>
  </si>
  <si>
    <t>Spread Overlap:</t>
  </si>
  <si>
    <r>
      <t xml:space="preserve"> </t>
    </r>
    <r>
      <rPr>
        <b/>
        <sz val="22"/>
        <color theme="1"/>
        <rFont val="Calibri"/>
        <family val="2"/>
        <scheme val="minor"/>
      </rPr>
      <t xml:space="preserve">% to Hit    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(Per Bullet)</t>
    </r>
    <r>
      <rPr>
        <b/>
        <sz val="14"/>
        <color theme="1"/>
        <rFont val="Calibri"/>
        <family val="2"/>
        <scheme val="minor"/>
      </rPr>
      <t>:</t>
    </r>
  </si>
  <si>
    <t>`</t>
  </si>
  <si>
    <t>Evader</t>
  </si>
  <si>
    <t>POV:</t>
  </si>
  <si>
    <t>*0 = a perpendicular attack angle*</t>
  </si>
  <si>
    <t>Attack POV:</t>
  </si>
  <si>
    <t>Top Down</t>
  </si>
  <si>
    <t>Distance:</t>
  </si>
  <si>
    <t>Angle of Attack:</t>
  </si>
  <si>
    <t>Bicho goes on the attack!</t>
  </si>
  <si>
    <t>Air Tank's wing was hit 30 times.</t>
  </si>
  <si>
    <t>Air Tank's fuselage was hit 65 times.</t>
  </si>
  <si>
    <t>Air Tank's fuselage got critical hit 6 times.</t>
  </si>
  <si>
    <t>Shred bullets took 95 armor.</t>
  </si>
  <si>
    <t>Incindiery Bullets dealt an extra 20.2 damage.</t>
  </si>
  <si>
    <t>Bullets Pierced the fuselage and wings 1 times.</t>
  </si>
  <si>
    <t>Bicho's fuselage was hit 262 times.</t>
  </si>
  <si>
    <t>Air Tank counters with rear guns!</t>
  </si>
  <si>
    <t>Bicho's wing was hit 38 times.</t>
  </si>
  <si>
    <t>Bicho's fuselage was hit 73 times.</t>
  </si>
  <si>
    <t>Bicho's fuselage got critical hit 0 times.</t>
  </si>
  <si>
    <t>Shred bullets took 111 armor.</t>
  </si>
  <si>
    <t>Incindiery Bullets dealt an extra 22.2 damage.</t>
  </si>
  <si>
    <t>Bullets Pierced the fuselage and wings 5 times.</t>
  </si>
  <si>
    <t>Bicho closed the distance by 2 units.</t>
  </si>
  <si>
    <t>*A Second has passed*</t>
  </si>
  <si>
    <t>Air Tank's fuselage was hit 269 times.</t>
  </si>
  <si>
    <t>Air Tank's wing was hit 65 times.</t>
  </si>
  <si>
    <t>Air Tank's fuselage was hit 119 times.</t>
  </si>
  <si>
    <t>Air Tank's fuselage got critical hit 19 times.</t>
  </si>
  <si>
    <t>Shred bullets took 184 armor.</t>
  </si>
  <si>
    <t>Incindiery Bullets dealt an extra 40.6 damage.</t>
  </si>
  <si>
    <t>Bullets Pierced the fuselage and wings 3 times.</t>
  </si>
  <si>
    <t>Bicho's fuselage was hit 314 times.</t>
  </si>
  <si>
    <t>Bicho's fuselage has exploded. Air Tank is the winner.</t>
  </si>
  <si>
    <t>Incindiery Bullets dealt an extra 87.6 damage.</t>
  </si>
  <si>
    <t>Bullets Pierced the fuselage and wings 10 times.</t>
  </si>
  <si>
    <t>----------------------------------- End of Round ---------------------------------</t>
  </si>
  <si>
    <t>Bullets Pierced the fuselage and wings 6 times.</t>
  </si>
  <si>
    <t>Firecracker's wing was hit 86 times.</t>
  </si>
  <si>
    <t>Firecracker's fuselage was hit 208 times.</t>
  </si>
  <si>
    <t>Firecracker's fuselage got critical hit 15 times.</t>
  </si>
  <si>
    <t>Shred bullets took 294 armor.</t>
  </si>
  <si>
    <t>Incindiery Bullets dealt an extra 61.8 damage.</t>
  </si>
  <si>
    <t>Bullets Pierced the fuselage and wings 9 times.</t>
  </si>
  <si>
    <t>Firecracker counters with rear guns!</t>
  </si>
  <si>
    <t>Bicho's wing was hit 103 times.</t>
  </si>
  <si>
    <t>Bicho's fuselage was hit 206 times.</t>
  </si>
  <si>
    <t>Shred bullets took 309 armor.</t>
  </si>
  <si>
    <t>Bicho closed the distance by 4 units.</t>
  </si>
  <si>
    <t>Firecracker's fuselage has exploded. Bicho is the winner.</t>
  </si>
  <si>
    <t>Name</t>
  </si>
  <si>
    <t>Fuselage HP</t>
  </si>
  <si>
    <t>Wing HP</t>
  </si>
  <si>
    <t>Fuselage Radius</t>
  </si>
  <si>
    <t>Fuselage Length</t>
  </si>
  <si>
    <t>Wing Radius</t>
  </si>
  <si>
    <t>Wing Length</t>
  </si>
  <si>
    <t>Critical Area%</t>
  </si>
  <si>
    <t>Fuselage Armor</t>
  </si>
  <si>
    <t>Wing Armor</t>
  </si>
  <si>
    <t>Speed</t>
  </si>
  <si>
    <t>Gun Mounts</t>
  </si>
  <si>
    <t>Turning Radius</t>
  </si>
  <si>
    <t>Rear Guns</t>
  </si>
  <si>
    <t>Firecracker</t>
  </si>
  <si>
    <t>Makapuu</t>
  </si>
  <si>
    <t>Damage</t>
  </si>
  <si>
    <t>Fire Rate b/s</t>
  </si>
  <si>
    <t>Range</t>
  </si>
  <si>
    <t>Spread</t>
  </si>
  <si>
    <t>Ammo</t>
  </si>
  <si>
    <t>Mato</t>
  </si>
  <si>
    <t>Halberd</t>
  </si>
  <si>
    <t>Akuma</t>
  </si>
  <si>
    <t>Description</t>
  </si>
  <si>
    <t>Formula</t>
  </si>
  <si>
    <t>Spread Area at Distance</t>
  </si>
  <si>
    <t>Calculates the spread area of a weapon depending on the distance and the approach angle</t>
  </si>
  <si>
    <r>
      <t>=FLOOR(PI() * POW((SQRT(POW(INDEX(WeaponData, MATCH(</t>
    </r>
    <r>
      <rPr>
        <sz val="11"/>
        <color rgb="FFB75E00"/>
        <rFont val="Arial"/>
        <family val="2"/>
      </rPr>
      <t>weapon_name</t>
    </r>
    <r>
      <rPr>
        <sz val="11"/>
        <color rgb="FF3C4043"/>
        <rFont val="Arial"/>
        <family val="2"/>
      </rPr>
      <t>, WeaponNames, 0), MATCH("Spread (Radius)", WeaponStats,0)), 2) + POW(INDEX(WeaponData, MATCH(</t>
    </r>
    <r>
      <rPr>
        <sz val="11"/>
        <color rgb="FFB75E00"/>
        <rFont val="Arial"/>
        <family val="2"/>
      </rPr>
      <t>weapon_name</t>
    </r>
    <r>
      <rPr>
        <sz val="11"/>
        <color rgb="FF3C4043"/>
        <rFont val="Arial"/>
        <family val="2"/>
      </rPr>
      <t>, WeaponNames, 0), MATCH("Spread (Radius)", WeaponStats,0)) * TAN(</t>
    </r>
    <r>
      <rPr>
        <sz val="11"/>
        <color rgb="FFD01884"/>
        <rFont val="Arial"/>
        <family val="2"/>
      </rPr>
      <t>angle</t>
    </r>
    <r>
      <rPr>
        <sz val="11"/>
        <color rgb="FF3C4043"/>
        <rFont val="Arial"/>
        <family val="2"/>
      </rPr>
      <t xml:space="preserve"> * PI()/180), 2)) * </t>
    </r>
    <r>
      <rPr>
        <sz val="11"/>
        <color rgb="FF188038"/>
        <rFont val="Arial"/>
        <family val="2"/>
      </rPr>
      <t>distance</t>
    </r>
    <r>
      <rPr>
        <sz val="11"/>
        <color rgb="FF3C4043"/>
        <rFont val="Arial"/>
        <family val="2"/>
      </rPr>
      <t xml:space="preserve"> / (100 - (INDEX(WeaponData, MATCH(</t>
    </r>
    <r>
      <rPr>
        <sz val="11"/>
        <color rgb="FFB75E00"/>
        <rFont val="Arial"/>
        <family val="2"/>
      </rPr>
      <t>weapon_name</t>
    </r>
    <r>
      <rPr>
        <sz val="11"/>
        <color rgb="FF3C4043"/>
        <rFont val="Arial"/>
        <family val="2"/>
      </rPr>
      <t>, WeaponNames, 0), MATCH("Spread (Radius)", WeaponStats,0)) * TAN(</t>
    </r>
    <r>
      <rPr>
        <sz val="11"/>
        <color rgb="FFD01884"/>
        <rFont val="Arial"/>
        <family val="2"/>
      </rPr>
      <t>angle</t>
    </r>
    <r>
      <rPr>
        <sz val="11"/>
        <color rgb="FF3C4043"/>
        <rFont val="Arial"/>
        <family val="2"/>
      </rPr>
      <t xml:space="preserve"> * PI()/180)))), 2))</t>
    </r>
  </si>
  <si>
    <t>Battle Views</t>
  </si>
  <si>
    <t>Side</t>
  </si>
  <si>
    <t>Behind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</si>
</sst>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3C4043"/>
      <name val="Arial"/>
      <family val="2"/>
    </font>
    <font>
      <sz val="11"/>
      <color rgb="FFB75E00"/>
      <name val="Arial"/>
      <family val="2"/>
    </font>
    <font>
      <sz val="11"/>
      <color rgb="FFD01884"/>
      <name val="Arial"/>
      <family val="2"/>
    </font>
    <font>
      <sz val="11"/>
      <color rgb="FF188038"/>
      <name val="Arial"/>
      <family val="2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36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0" fillId="2" borderId="0" xfId="0" applyFill="1" applyAlignment="1">
      <alignment horizontal="center" vertical="center"/>
    </xf>
    <xf numFmtId="0" fontId="0" fillId="2" borderId="0" xfId="0" applyFill="1"/>
    <xf numFmtId="0" fontId="0" fillId="2" borderId="1" xfId="0" applyFill="1" applyBorder="1"/>
    <xf numFmtId="0" fontId="0" fillId="0" borderId="1" xfId="0" applyBorder="1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1" xfId="0" applyFill="1" applyBorder="1"/>
    <xf numFmtId="0" fontId="0" fillId="3" borderId="0" xfId="0" applyFill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center" vertical="center"/>
    </xf>
    <xf numFmtId="0" fontId="1" fillId="3" borderId="1" xfId="0" applyFont="1" applyFill="1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3" borderId="11" xfId="0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11" fillId="6" borderId="9" xfId="0" applyFont="1" applyFill="1" applyBorder="1"/>
    <xf numFmtId="0" fontId="0" fillId="4" borderId="4" xfId="0" applyFill="1" applyBorder="1" applyAlignment="1">
      <alignment horizontal="right" vertical="center"/>
    </xf>
    <xf numFmtId="0" fontId="0" fillId="4" borderId="5" xfId="0" applyFill="1" applyBorder="1" applyAlignment="1">
      <alignment horizontal="right" vertical="center"/>
    </xf>
    <xf numFmtId="0" fontId="0" fillId="4" borderId="8" xfId="0" applyFill="1" applyBorder="1" applyAlignment="1">
      <alignment horizontal="right" vertical="center"/>
    </xf>
    <xf numFmtId="0" fontId="2" fillId="5" borderId="0" xfId="0" applyFont="1" applyFill="1" applyAlignment="1">
      <alignment vertical="center" wrapText="1"/>
    </xf>
    <xf numFmtId="0" fontId="2" fillId="5" borderId="0" xfId="0" applyFont="1" applyFill="1" applyAlignment="1">
      <alignment horizontal="center" vertical="center" wrapText="1"/>
    </xf>
    <xf numFmtId="0" fontId="5" fillId="3" borderId="7" xfId="0" applyFont="1" applyFill="1" applyBorder="1"/>
    <xf numFmtId="0" fontId="5" fillId="6" borderId="9" xfId="0" applyFont="1" applyFill="1" applyBorder="1" applyAlignment="1">
      <alignment horizontal="center" vertical="center"/>
    </xf>
    <xf numFmtId="0" fontId="13" fillId="7" borderId="0" xfId="0" applyFont="1" applyFill="1" applyAlignment="1">
      <alignment horizontal="center" vertical="center"/>
    </xf>
    <xf numFmtId="0" fontId="2" fillId="7" borderId="11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left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9" borderId="11" xfId="0" applyFont="1" applyFill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 wrapText="1"/>
    </xf>
    <xf numFmtId="0" fontId="2" fillId="10" borderId="9" xfId="0" applyFont="1" applyFill="1" applyBorder="1"/>
    <xf numFmtId="1" fontId="2" fillId="10" borderId="11" xfId="0" applyNumberFormat="1" applyFont="1" applyFill="1" applyBorder="1" applyAlignment="1">
      <alignment horizontal="center" vertical="center"/>
    </xf>
    <xf numFmtId="1" fontId="5" fillId="10" borderId="11" xfId="0" applyNumberFormat="1" applyFont="1" applyFill="1" applyBorder="1" applyAlignment="1">
      <alignment horizontal="center" vertical="center" wrapText="1"/>
    </xf>
    <xf numFmtId="0" fontId="0" fillId="3" borderId="3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11" fillId="13" borderId="12" xfId="0" applyFont="1" applyFill="1" applyBorder="1" applyAlignment="1">
      <alignment wrapText="1"/>
    </xf>
    <xf numFmtId="0" fontId="11" fillId="13" borderId="13" xfId="0" applyFont="1" applyFill="1" applyBorder="1" applyAlignment="1">
      <alignment wrapText="1"/>
    </xf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11" fillId="3" borderId="1" xfId="0" applyFont="1" applyFill="1" applyBorder="1"/>
    <xf numFmtId="0" fontId="11" fillId="3" borderId="0" xfId="0" applyFont="1" applyFill="1"/>
    <xf numFmtId="0" fontId="11" fillId="3" borderId="5" xfId="0" applyFont="1" applyFill="1" applyBorder="1"/>
    <xf numFmtId="1" fontId="2" fillId="14" borderId="11" xfId="0" applyNumberFormat="1" applyFont="1" applyFill="1" applyBorder="1" applyAlignment="1">
      <alignment horizontal="center" vertical="center" wrapText="1"/>
    </xf>
    <xf numFmtId="0" fontId="13" fillId="7" borderId="11" xfId="0" applyFont="1" applyFill="1" applyBorder="1" applyAlignment="1">
      <alignment horizontal="center" vertical="center"/>
    </xf>
    <xf numFmtId="0" fontId="0" fillId="12" borderId="0" xfId="0" applyFill="1"/>
    <xf numFmtId="0" fontId="0" fillId="14" borderId="10" xfId="0" applyFill="1" applyBorder="1" applyAlignment="1">
      <alignment horizontal="center" vertical="center"/>
    </xf>
    <xf numFmtId="0" fontId="16" fillId="3" borderId="1" xfId="0" applyFont="1" applyFill="1" applyBorder="1"/>
    <xf numFmtId="0" fontId="16" fillId="3" borderId="0" xfId="0" applyFont="1" applyFill="1"/>
    <xf numFmtId="0" fontId="16" fillId="3" borderId="5" xfId="0" applyFont="1" applyFill="1" applyBorder="1"/>
    <xf numFmtId="0" fontId="18" fillId="3" borderId="1" xfId="0" applyFont="1" applyFill="1" applyBorder="1" applyAlignment="1">
      <alignment wrapText="1"/>
    </xf>
    <xf numFmtId="0" fontId="18" fillId="3" borderId="0" xfId="0" applyFont="1" applyFill="1" applyAlignment="1">
      <alignment wrapText="1"/>
    </xf>
    <xf numFmtId="0" fontId="16" fillId="7" borderId="10" xfId="0" applyFont="1" applyFill="1" applyBorder="1" applyAlignment="1">
      <alignment horizontal="center" vertical="center"/>
    </xf>
    <xf numFmtId="0" fontId="16" fillId="7" borderId="11" xfId="0" applyFont="1" applyFill="1" applyBorder="1" applyAlignment="1">
      <alignment horizontal="center" vertical="center"/>
    </xf>
    <xf numFmtId="0" fontId="16" fillId="9" borderId="10" xfId="0" applyFont="1" applyFill="1" applyBorder="1" applyAlignment="1">
      <alignment horizontal="center" vertical="center"/>
    </xf>
    <xf numFmtId="0" fontId="16" fillId="9" borderId="11" xfId="0" applyFont="1" applyFill="1" applyBorder="1" applyAlignment="1">
      <alignment horizontal="center" vertical="center"/>
    </xf>
    <xf numFmtId="0" fontId="19" fillId="7" borderId="10" xfId="0" applyFont="1" applyFill="1" applyBorder="1" applyAlignment="1">
      <alignment horizontal="center" vertical="center"/>
    </xf>
    <xf numFmtId="0" fontId="19" fillId="7" borderId="11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 wrapText="1"/>
    </xf>
    <xf numFmtId="0" fontId="15" fillId="2" borderId="2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0" fontId="15" fillId="2" borderId="6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1" fontId="0" fillId="3" borderId="4" xfId="0" applyNumberFormat="1" applyFill="1" applyBorder="1" applyAlignment="1">
      <alignment horizontal="center" vertical="center"/>
    </xf>
    <xf numFmtId="1" fontId="0" fillId="3" borderId="5" xfId="0" applyNumberFormat="1" applyFill="1" applyBorder="1" applyAlignment="1">
      <alignment horizontal="center" vertical="center"/>
    </xf>
    <xf numFmtId="1" fontId="0" fillId="3" borderId="8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7" fillId="3" borderId="2" xfId="0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5" fillId="4" borderId="10" xfId="0" applyFont="1" applyFill="1" applyBorder="1" applyAlignment="1">
      <alignment horizontal="center" vertical="center"/>
    </xf>
    <xf numFmtId="0" fontId="5" fillId="4" borderId="11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1" fillId="4" borderId="10" xfId="0" applyFont="1" applyFill="1" applyBorder="1" applyAlignment="1">
      <alignment horizontal="center"/>
    </xf>
    <xf numFmtId="0" fontId="11" fillId="4" borderId="11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10" fillId="4" borderId="10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center" vertical="center" wrapText="1"/>
    </xf>
    <xf numFmtId="0" fontId="2" fillId="7" borderId="9" xfId="0" applyFont="1" applyFill="1" applyBorder="1" applyAlignment="1">
      <alignment horizontal="left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9" borderId="9" xfId="0" applyFont="1" applyFill="1" applyBorder="1" applyAlignment="1">
      <alignment horizontal="left" vertical="center" wrapText="1"/>
    </xf>
    <xf numFmtId="0" fontId="2" fillId="9" borderId="10" xfId="0" applyFont="1" applyFill="1" applyBorder="1" applyAlignment="1">
      <alignment horizontal="left" vertical="center" wrapText="1"/>
    </xf>
    <xf numFmtId="0" fontId="2" fillId="9" borderId="3" xfId="0" applyFont="1" applyFill="1" applyBorder="1" applyAlignment="1">
      <alignment horizontal="left" vertical="center" wrapText="1"/>
    </xf>
    <xf numFmtId="0" fontId="2" fillId="9" borderId="2" xfId="0" applyFont="1" applyFill="1" applyBorder="1" applyAlignment="1">
      <alignment horizontal="left" vertical="center" wrapText="1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left" vertical="center"/>
    </xf>
    <xf numFmtId="0" fontId="2" fillId="14" borderId="10" xfId="0" applyFont="1" applyFill="1" applyBorder="1" applyAlignment="1">
      <alignment horizontal="left" vertical="center"/>
    </xf>
    <xf numFmtId="0" fontId="0" fillId="14" borderId="10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16" fillId="3" borderId="1" xfId="0" applyFont="1" applyFill="1" applyBorder="1" applyAlignment="1">
      <alignment horizontal="left"/>
    </xf>
    <xf numFmtId="0" fontId="16" fillId="3" borderId="0" xfId="0" applyFont="1" applyFill="1" applyAlignment="1">
      <alignment horizontal="left"/>
    </xf>
    <xf numFmtId="0" fontId="16" fillId="3" borderId="5" xfId="0" applyFont="1" applyFill="1" applyBorder="1" applyAlignment="1">
      <alignment horizontal="left"/>
    </xf>
    <xf numFmtId="0" fontId="16" fillId="9" borderId="9" xfId="0" applyFont="1" applyFill="1" applyBorder="1" applyAlignment="1">
      <alignment horizontal="left" vertical="center"/>
    </xf>
    <xf numFmtId="0" fontId="16" fillId="9" borderId="10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10" fillId="6" borderId="9" xfId="0" applyFont="1" applyFill="1" applyBorder="1" applyAlignment="1">
      <alignment horizontal="left" vertical="center" wrapText="1"/>
    </xf>
    <xf numFmtId="0" fontId="10" fillId="6" borderId="10" xfId="0" applyFont="1" applyFill="1" applyBorder="1" applyAlignment="1">
      <alignment horizontal="left" vertical="center" wrapText="1"/>
    </xf>
    <xf numFmtId="0" fontId="10" fillId="3" borderId="3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7" borderId="10" xfId="0" applyFont="1" applyFill="1" applyBorder="1" applyAlignment="1">
      <alignment horizontal="center" vertical="center"/>
    </xf>
    <xf numFmtId="0" fontId="16" fillId="3" borderId="3" xfId="0" quotePrefix="1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left"/>
    </xf>
    <xf numFmtId="0" fontId="2" fillId="10" borderId="10" xfId="0" applyFont="1" applyFill="1" applyBorder="1" applyAlignment="1">
      <alignment horizontal="left"/>
    </xf>
    <xf numFmtId="0" fontId="2" fillId="14" borderId="9" xfId="0" applyFont="1" applyFill="1" applyBorder="1" applyAlignment="1">
      <alignment horizontal="left"/>
    </xf>
    <xf numFmtId="0" fontId="2" fillId="14" borderId="10" xfId="0" applyFont="1" applyFill="1" applyBorder="1" applyAlignment="1">
      <alignment horizontal="left"/>
    </xf>
    <xf numFmtId="0" fontId="16" fillId="3" borderId="6" xfId="0" applyFont="1" applyFill="1" applyBorder="1" applyAlignment="1">
      <alignment horizontal="left"/>
    </xf>
    <xf numFmtId="0" fontId="16" fillId="3" borderId="7" xfId="0" applyFont="1" applyFill="1" applyBorder="1" applyAlignment="1">
      <alignment horizontal="left"/>
    </xf>
    <xf numFmtId="0" fontId="16" fillId="3" borderId="8" xfId="0" applyFont="1" applyFill="1" applyBorder="1" applyAlignment="1">
      <alignment horizontal="left"/>
    </xf>
    <xf numFmtId="0" fontId="16" fillId="7" borderId="9" xfId="0" applyFont="1" applyFill="1" applyBorder="1" applyAlignment="1">
      <alignment horizontal="left" vertical="center"/>
    </xf>
    <xf numFmtId="0" fontId="16" fillId="7" borderId="10" xfId="0" applyFont="1" applyFill="1" applyBorder="1" applyAlignment="1">
      <alignment horizontal="left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0" xfId="0" applyFont="1" applyAlignment="1">
      <alignment horizontal="center" wrapText="1"/>
    </xf>
  </cellXfs>
  <cellStyles count="1">
    <cellStyle name="Normal" xfId="0" builtinId="0"/>
  </cellStyles>
  <dxfs count="5">
    <dxf>
      <fill>
        <patternFill>
          <bgColor theme="4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2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0</xdr:colOff>
      <xdr:row>12</xdr:row>
      <xdr:rowOff>0</xdr:rowOff>
    </xdr:from>
    <xdr:to>
      <xdr:col>22</xdr:col>
      <xdr:colOff>304800</xdr:colOff>
      <xdr:row>13</xdr:row>
      <xdr:rowOff>114300</xdr:rowOff>
    </xdr:to>
    <xdr:sp macro="" textlink="">
      <xdr:nvSpPr>
        <xdr:cNvPr id="1036" name="AutoShape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>
          <a:spLocks noChangeAspect="1" noChangeArrowheads="1"/>
        </xdr:cNvSpPr>
      </xdr:nvSpPr>
      <xdr:spPr bwMode="auto">
        <a:xfrm>
          <a:off x="132969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144780</xdr:colOff>
          <xdr:row>26</xdr:row>
          <xdr:rowOff>137160</xdr:rowOff>
        </xdr:from>
        <xdr:to>
          <xdr:col>6</xdr:col>
          <xdr:colOff>769620</xdr:colOff>
          <xdr:row>29</xdr:row>
          <xdr:rowOff>30480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Top 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29</xdr:row>
          <xdr:rowOff>121920</xdr:rowOff>
        </xdr:from>
        <xdr:to>
          <xdr:col>6</xdr:col>
          <xdr:colOff>754380</xdr:colOff>
          <xdr:row>32</xdr:row>
          <xdr:rowOff>22860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32</xdr:row>
          <xdr:rowOff>137160</xdr:rowOff>
        </xdr:from>
        <xdr:to>
          <xdr:col>6</xdr:col>
          <xdr:colOff>754380</xdr:colOff>
          <xdr:row>35</xdr:row>
          <xdr:rowOff>30480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Behind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8</xdr:row>
          <xdr:rowOff>83820</xdr:rowOff>
        </xdr:from>
        <xdr:to>
          <xdr:col>7</xdr:col>
          <xdr:colOff>121920</xdr:colOff>
          <xdr:row>10</xdr:row>
          <xdr:rowOff>175260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748088</xdr:colOff>
      <xdr:row>18</xdr:row>
      <xdr:rowOff>83816</xdr:rowOff>
    </xdr:from>
    <xdr:to>
      <xdr:col>13</xdr:col>
      <xdr:colOff>13911</xdr:colOff>
      <xdr:row>20</xdr:row>
      <xdr:rowOff>106684</xdr:rowOff>
    </xdr:to>
    <xdr:pic>
      <xdr:nvPicPr>
        <xdr:cNvPr id="3" name="Crosshai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20463" y="4246241"/>
          <a:ext cx="523123" cy="508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13</xdr:row>
          <xdr:rowOff>83820</xdr:rowOff>
        </xdr:from>
        <xdr:to>
          <xdr:col>1</xdr:col>
          <xdr:colOff>556260</xdr:colOff>
          <xdr:row>14</xdr:row>
          <xdr:rowOff>121920</xdr:rowOff>
        </xdr:to>
        <xdr:sp macro="" textlink="">
          <xdr:nvSpPr>
            <xdr:cNvPr id="1052" name="Shred1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13</xdr:row>
          <xdr:rowOff>83820</xdr:rowOff>
        </xdr:from>
        <xdr:to>
          <xdr:col>2</xdr:col>
          <xdr:colOff>449580</xdr:colOff>
          <xdr:row>14</xdr:row>
          <xdr:rowOff>121920</xdr:rowOff>
        </xdr:to>
        <xdr:sp macro="" textlink="">
          <xdr:nvSpPr>
            <xdr:cNvPr id="1053" name="Pierce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Pierce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594360</xdr:colOff>
          <xdr:row>13</xdr:row>
          <xdr:rowOff>83820</xdr:rowOff>
        </xdr:from>
        <xdr:to>
          <xdr:col>3</xdr:col>
          <xdr:colOff>365760</xdr:colOff>
          <xdr:row>14</xdr:row>
          <xdr:rowOff>121920</xdr:rowOff>
        </xdr:to>
        <xdr:sp macro="" textlink="">
          <xdr:nvSpPr>
            <xdr:cNvPr id="1054" name="Burn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182880</xdr:colOff>
          <xdr:row>29</xdr:row>
          <xdr:rowOff>99060</xdr:rowOff>
        </xdr:from>
        <xdr:to>
          <xdr:col>1</xdr:col>
          <xdr:colOff>556260</xdr:colOff>
          <xdr:row>30</xdr:row>
          <xdr:rowOff>137160</xdr:rowOff>
        </xdr:to>
        <xdr:sp macro="" textlink="">
          <xdr:nvSpPr>
            <xdr:cNvPr id="1055" name="Shred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99060</xdr:rowOff>
        </xdr:from>
        <xdr:to>
          <xdr:col>2</xdr:col>
          <xdr:colOff>449580</xdr:colOff>
          <xdr:row>30</xdr:row>
          <xdr:rowOff>137160</xdr:rowOff>
        </xdr:to>
        <xdr:sp macro="" textlink="">
          <xdr:nvSpPr>
            <xdr:cNvPr id="1056" name="Pierce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Pierce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579120</xdr:colOff>
          <xdr:row>29</xdr:row>
          <xdr:rowOff>99060</xdr:rowOff>
        </xdr:from>
        <xdr:to>
          <xdr:col>3</xdr:col>
          <xdr:colOff>365760</xdr:colOff>
          <xdr:row>30</xdr:row>
          <xdr:rowOff>137160</xdr:rowOff>
        </xdr:to>
        <xdr:sp macro="" textlink="">
          <xdr:nvSpPr>
            <xdr:cNvPr id="1057" name="Burn2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Burn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601980</xdr:colOff>
          <xdr:row>8</xdr:row>
          <xdr:rowOff>60960</xdr:rowOff>
        </xdr:from>
        <xdr:to>
          <xdr:col>19</xdr:col>
          <xdr:colOff>693420</xdr:colOff>
          <xdr:row>10</xdr:row>
          <xdr:rowOff>144780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Battle Field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im">
    <pageSetUpPr autoPageBreaks="0"/>
  </sheetPr>
  <dimension ref="A1:BI323"/>
  <sheetViews>
    <sheetView tabSelected="1" zoomScale="80" zoomScaleNormal="80" workbookViewId="0"/>
  </sheetViews>
  <sheetFormatPr defaultRowHeight="14.4" x14ac:dyDescent="0.3"/>
  <cols>
    <col min="1" max="1" width="9.109375" style="4"/>
    <col min="4" max="4" width="9.109375" customWidth="1"/>
    <col min="6" max="6" width="9.6640625" customWidth="1"/>
    <col min="7" max="7" width="13.5546875" customWidth="1"/>
    <col min="8" max="8" width="9.6640625" customWidth="1"/>
    <col min="9" max="9" width="11" customWidth="1"/>
    <col min="10" max="10" width="13.44140625" customWidth="1"/>
    <col min="11" max="11" width="10.44140625" customWidth="1"/>
    <col min="12" max="12" width="11.44140625" customWidth="1"/>
    <col min="13" max="13" width="7.44140625" customWidth="1"/>
    <col min="14" max="14" width="12.109375" customWidth="1"/>
    <col min="15" max="15" width="10.6640625" customWidth="1"/>
    <col min="16" max="16" width="9.109375" customWidth="1"/>
    <col min="17" max="17" width="11.109375" customWidth="1"/>
    <col min="18" max="18" width="13.44140625" customWidth="1"/>
    <col min="19" max="19" width="9.109375" customWidth="1"/>
    <col min="20" max="20" width="11.33203125" customWidth="1"/>
    <col min="22" max="22" width="11.44140625" customWidth="1"/>
    <col min="23" max="23" width="13.88671875" customWidth="1"/>
    <col min="26" max="26" width="10.33203125" customWidth="1"/>
    <col min="27" max="61" width="9.109375" style="2"/>
  </cols>
  <sheetData>
    <row r="1" spans="1:28" x14ac:dyDescent="0.3">
      <c r="A1" s="3"/>
      <c r="B1" s="2"/>
      <c r="C1" s="2"/>
      <c r="D1" s="2"/>
      <c r="E1" s="2"/>
      <c r="F1" s="117" t="s">
        <v>0</v>
      </c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9"/>
      <c r="U1" s="2"/>
      <c r="V1" s="2"/>
      <c r="W1" s="2"/>
      <c r="X1" s="2"/>
      <c r="Y1" s="2"/>
      <c r="Z1" s="2"/>
    </row>
    <row r="2" spans="1:28" ht="27.75" customHeight="1" x14ac:dyDescent="0.3">
      <c r="A2" s="2"/>
      <c r="B2" s="126" t="s">
        <v>1</v>
      </c>
      <c r="C2" s="127"/>
      <c r="D2" s="128"/>
      <c r="E2" s="2"/>
      <c r="F2" s="120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2"/>
      <c r="U2" s="2"/>
      <c r="V2" s="126" t="s">
        <v>2</v>
      </c>
      <c r="W2" s="127"/>
      <c r="X2" s="127"/>
      <c r="Y2" s="127"/>
      <c r="Z2" s="127"/>
      <c r="AA2" s="127"/>
      <c r="AB2" s="128"/>
    </row>
    <row r="3" spans="1:28" x14ac:dyDescent="0.3">
      <c r="A3" s="2"/>
      <c r="B3" s="2"/>
      <c r="C3" s="2"/>
      <c r="D3" s="2"/>
      <c r="E3" s="2"/>
      <c r="F3" s="123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5"/>
      <c r="U3" s="2"/>
      <c r="V3" s="2"/>
      <c r="W3" s="2"/>
      <c r="X3" s="2"/>
      <c r="Y3" s="2"/>
      <c r="Z3" s="2"/>
    </row>
    <row r="4" spans="1:28" ht="31.5" customHeight="1" x14ac:dyDescent="0.45">
      <c r="A4" s="3"/>
      <c r="B4" s="131" t="s">
        <v>3</v>
      </c>
      <c r="C4" s="132"/>
      <c r="D4" s="133"/>
      <c r="E4" s="2"/>
      <c r="F4" s="129" t="s">
        <v>4</v>
      </c>
      <c r="G4" s="130"/>
      <c r="H4" s="96" t="s">
        <v>5</v>
      </c>
      <c r="I4" s="97"/>
      <c r="J4" s="134" t="s">
        <v>6</v>
      </c>
      <c r="K4" s="135"/>
      <c r="L4" s="31">
        <f>$H$5+L5</f>
        <v>1550</v>
      </c>
      <c r="M4" s="43"/>
      <c r="N4" s="129" t="s">
        <v>7</v>
      </c>
      <c r="O4" s="130"/>
      <c r="P4" s="96" t="s">
        <v>8</v>
      </c>
      <c r="Q4" s="97"/>
      <c r="R4" s="134" t="s">
        <v>6</v>
      </c>
      <c r="S4" s="135"/>
      <c r="T4" s="52">
        <f>$P$5+$T$5</f>
        <v>2000</v>
      </c>
      <c r="U4" s="2"/>
      <c r="V4" s="136" t="s">
        <v>9</v>
      </c>
      <c r="W4" s="137"/>
      <c r="X4" s="137"/>
      <c r="Y4" s="137"/>
      <c r="Z4" s="137"/>
      <c r="AA4" s="137"/>
      <c r="AB4" s="138"/>
    </row>
    <row r="5" spans="1:28" ht="23.25" customHeight="1" x14ac:dyDescent="0.45">
      <c r="A5" s="3"/>
      <c r="B5" s="23" t="s">
        <v>10</v>
      </c>
      <c r="C5" s="88" t="s">
        <v>11</v>
      </c>
      <c r="D5" s="89"/>
      <c r="E5" s="2"/>
      <c r="F5" s="98" t="s">
        <v>12</v>
      </c>
      <c r="G5" s="99"/>
      <c r="H5" s="32">
        <f>IFERROR(VLOOKUP($H$4, Planes!$A$1:$X$21,3,FALSE),"")</f>
        <v>750</v>
      </c>
      <c r="I5" s="27"/>
      <c r="J5" s="98" t="s">
        <v>13</v>
      </c>
      <c r="K5" s="99"/>
      <c r="L5" s="32">
        <f>IFERROR(VLOOKUP($H$4, Planes!$A$1:$X$21,2,FALSE), "")</f>
        <v>800</v>
      </c>
      <c r="M5" s="44"/>
      <c r="N5" s="98" t="s">
        <v>12</v>
      </c>
      <c r="O5" s="99"/>
      <c r="P5" s="32">
        <f>IFERROR(VLOOKUP($P$4, Planes!$A$1:$X$21,3,FALSE), "")</f>
        <v>750</v>
      </c>
      <c r="Q5" s="27"/>
      <c r="R5" s="98" t="s">
        <v>13</v>
      </c>
      <c r="S5" s="99"/>
      <c r="T5" s="32">
        <f>IFERROR(VLOOKUP($P$4, Planes!$A$1:$X$21,2,FALSE),"")</f>
        <v>1250</v>
      </c>
      <c r="U5" s="2"/>
      <c r="V5" s="146" t="s">
        <v>14</v>
      </c>
      <c r="W5" s="147"/>
      <c r="X5" s="64">
        <v>1550</v>
      </c>
      <c r="Y5" s="146" t="s">
        <v>15</v>
      </c>
      <c r="Z5" s="147"/>
      <c r="AA5" s="147"/>
      <c r="AB5" s="65">
        <v>2000</v>
      </c>
    </row>
    <row r="6" spans="1:28" ht="21.75" customHeight="1" x14ac:dyDescent="0.45">
      <c r="A6" s="3"/>
      <c r="B6" s="15"/>
      <c r="C6" s="9"/>
      <c r="D6" s="10"/>
      <c r="E6" s="2"/>
      <c r="F6" s="100" t="s">
        <v>16</v>
      </c>
      <c r="G6" s="101"/>
      <c r="H6" s="35">
        <f>IFERROR(VLOOKUP($H$4, Planes!$A$1:$X$21,10,FALSE), "")</f>
        <v>150</v>
      </c>
      <c r="I6" s="28"/>
      <c r="J6" s="102" t="s">
        <v>17</v>
      </c>
      <c r="K6" s="103"/>
      <c r="L6" s="36">
        <f>IFERROR(VLOOKUP($H$4, Planes!$A$1:$X$21,9,FALSE), "")</f>
        <v>220</v>
      </c>
      <c r="M6" s="44"/>
      <c r="N6" s="100" t="s">
        <v>16</v>
      </c>
      <c r="O6" s="101"/>
      <c r="P6" s="35">
        <f>IFERROR(VLOOKUP($P$4, Planes!$A$1:$X$21,10,FALSE), "")</f>
        <v>300</v>
      </c>
      <c r="Q6" s="28"/>
      <c r="R6" s="102" t="s">
        <v>17</v>
      </c>
      <c r="S6" s="103"/>
      <c r="T6" s="36">
        <f>IFERROR(VLOOKUP($P$4, Planes!$A$1:$X$21,9,FALSE), "")</f>
        <v>350</v>
      </c>
      <c r="U6" s="2"/>
      <c r="V6" s="146" t="s">
        <v>18</v>
      </c>
      <c r="W6" s="147"/>
      <c r="X6" s="60">
        <v>750</v>
      </c>
      <c r="Y6" s="146" t="s">
        <v>19</v>
      </c>
      <c r="Z6" s="147"/>
      <c r="AA6" s="147"/>
      <c r="AB6" s="61">
        <v>750</v>
      </c>
    </row>
    <row r="7" spans="1:28" ht="16.5" customHeight="1" x14ac:dyDescent="0.45">
      <c r="A7" s="3"/>
      <c r="B7" s="90" t="s">
        <v>20</v>
      </c>
      <c r="C7" s="91"/>
      <c r="D7" s="24">
        <f>IFERROR(VLOOKUP($C$5, 'Machine Guns'!$A$2:$F$31, 2,FALSE), "")</f>
        <v>1</v>
      </c>
      <c r="E7" s="2"/>
      <c r="F7" s="139" t="s">
        <v>21</v>
      </c>
      <c r="G7" s="140"/>
      <c r="H7" s="39">
        <f>IFERROR(IF($H$37= "Top Down", (VLOOKUP($H$4, Planes!$A$1:$R$34, 4, FALSE) * VLOOKUP($H$4, Planes!$A$1:$R$34, 5, FALSE) * 2 ) + (VLOOKUP($H$4, Planes!$A$1:$R$34, 6, FALSE) * VLOOKUP($H$4, Planes!$A$1:$R$34, 7, FALSE) * 2 ), IF($H$37 = "Side", (VLOOKUP($H$4, Planes!$A$1:$R$34, 4, FALSE) * VLOOKUP($H$4, Planes!$A$1:$R$34, 5, FALSE) * 2 ), (PI() * POWER(VLOOKUP($H$4, Planes!$A$1:$R$34, 4, FALSE), 2)))), "")</f>
        <v>360</v>
      </c>
      <c r="I7" s="37" t="s">
        <v>22</v>
      </c>
      <c r="J7" s="38">
        <f>IFERROR(VLOOKUP($H$4, Planes!$A$1:$X$21,8,FALSE),"")</f>
        <v>11</v>
      </c>
      <c r="K7" s="33" t="s">
        <v>23</v>
      </c>
      <c r="L7" s="34">
        <f>IFERROR(VLOOKUP($H$4, Planes!$A$1:$X$21,11,FALSE), "")</f>
        <v>102</v>
      </c>
      <c r="M7" s="44"/>
      <c r="N7" s="139" t="s">
        <v>21</v>
      </c>
      <c r="O7" s="140"/>
      <c r="P7" s="39">
        <f>IFERROR(IF($H$37= "Top Down", (VLOOKUP($P$4, Planes!$A$1:$R$34, 4, FALSE) * VLOOKUP($P$4, Planes!$A$1:$R$34, 5, FALSE) * 2 ) + (VLOOKUP($P$4, Planes!$A$1:$R$34, 6, FALSE) * VLOOKUP($P$4, Planes!$A$1:$R$34, 7, FALSE) * 2 ), IF($H$37 = "Side", (VLOOKUP($P$4, Planes!$A$1:$R$34, 4, FALSE) * VLOOKUP($P$4, Planes!$A$1:$R$34, 5, FALSE) * 2 ), (PI() * POWER(VLOOKUP($P$4, Planes!$A$1:$R$34, 4, FALSE), 2)))), "")</f>
        <v>900</v>
      </c>
      <c r="Q7" s="37" t="s">
        <v>22</v>
      </c>
      <c r="R7" s="38">
        <f>IFERROR(VLOOKUP($P$4, Planes!$A$1:$X$21,8,FALSE), "")</f>
        <v>15</v>
      </c>
      <c r="S7" s="33" t="s">
        <v>23</v>
      </c>
      <c r="T7" s="34">
        <f>IFERROR(VLOOKUP($P$4, Planes!$A$1:$X$21,11,FALSE), "")</f>
        <v>100</v>
      </c>
      <c r="U7" s="2"/>
      <c r="V7" s="146" t="s">
        <v>24</v>
      </c>
      <c r="W7" s="147"/>
      <c r="X7" s="60">
        <v>800</v>
      </c>
      <c r="Y7" s="146" t="s">
        <v>25</v>
      </c>
      <c r="Z7" s="147"/>
      <c r="AA7" s="147"/>
      <c r="AB7" s="61">
        <v>1250</v>
      </c>
    </row>
    <row r="8" spans="1:28" ht="17.25" customHeight="1" x14ac:dyDescent="0.45">
      <c r="A8" s="3"/>
      <c r="B8" s="75" t="s">
        <v>26</v>
      </c>
      <c r="C8" s="76"/>
      <c r="D8" s="25">
        <f>IFERROR(VLOOKUP($C$5, 'Machine Guns'!$A$2:$F$31, 3,FALSE), "")</f>
        <v>20</v>
      </c>
      <c r="E8" s="2"/>
      <c r="F8" s="108" t="s">
        <v>27</v>
      </c>
      <c r="G8" s="109"/>
      <c r="H8" s="51">
        <f>IFERROR(VLOOKUP($H$4, Planes!$A$1:$X$21,12,FALSE), "")</f>
        <v>2</v>
      </c>
      <c r="I8" s="53"/>
      <c r="J8" s="53"/>
      <c r="K8" s="53"/>
      <c r="L8" s="53"/>
      <c r="M8" s="44"/>
      <c r="N8" s="141" t="s">
        <v>28</v>
      </c>
      <c r="O8" s="142"/>
      <c r="P8" s="54">
        <f>IFERROR(VLOOKUP($P$4, Planes!$A$1:$X$21,14,FALSE), "")</f>
        <v>3</v>
      </c>
      <c r="Q8" s="110" t="s">
        <v>29</v>
      </c>
      <c r="R8" s="110"/>
      <c r="S8" s="110"/>
      <c r="T8" s="111"/>
      <c r="U8" s="2"/>
      <c r="V8" s="115" t="s">
        <v>30</v>
      </c>
      <c r="W8" s="116"/>
      <c r="X8" s="62">
        <v>150</v>
      </c>
      <c r="Y8" s="115" t="s">
        <v>31</v>
      </c>
      <c r="Z8" s="116"/>
      <c r="AA8" s="116"/>
      <c r="AB8" s="63">
        <v>300</v>
      </c>
    </row>
    <row r="9" spans="1:28" ht="23.25" customHeight="1" x14ac:dyDescent="0.3">
      <c r="A9" s="3"/>
      <c r="B9" s="75" t="s">
        <v>32</v>
      </c>
      <c r="C9" s="76"/>
      <c r="D9" s="25">
        <f>IFERROR(VLOOKUP($C$5, 'Machine Guns'!$A$2:$F$31, 4,FALSE), "")</f>
        <v>100</v>
      </c>
      <c r="E9" s="2"/>
      <c r="F9" s="5"/>
      <c r="G9" s="6"/>
      <c r="H9" s="6"/>
      <c r="I9" s="6"/>
      <c r="J9" s="6"/>
      <c r="K9" s="77"/>
      <c r="L9" s="77"/>
      <c r="M9" s="77"/>
      <c r="N9" s="77"/>
      <c r="O9" s="77"/>
      <c r="P9" s="6"/>
      <c r="Q9" s="6"/>
      <c r="R9" s="6"/>
      <c r="S9" s="6"/>
      <c r="T9" s="7"/>
      <c r="U9" s="2"/>
      <c r="V9" s="115" t="s">
        <v>33</v>
      </c>
      <c r="W9" s="116"/>
      <c r="X9" s="62">
        <v>220</v>
      </c>
      <c r="Y9" s="115" t="s">
        <v>34</v>
      </c>
      <c r="Z9" s="116"/>
      <c r="AA9" s="116"/>
      <c r="AB9" s="63">
        <v>350</v>
      </c>
    </row>
    <row r="10" spans="1:28" ht="15.6" x14ac:dyDescent="0.3">
      <c r="A10" s="3"/>
      <c r="B10" s="75" t="s">
        <v>35</v>
      </c>
      <c r="C10" s="76"/>
      <c r="D10" s="25">
        <f>IFERROR(VLOOKUP($C$5, 'Machine Guns'!$A$2:$F$31, 5,FALSE), "")</f>
        <v>12</v>
      </c>
      <c r="E10" s="2"/>
      <c r="F10" s="8"/>
      <c r="G10" s="9"/>
      <c r="H10" s="9"/>
      <c r="I10" s="9"/>
      <c r="J10" s="9"/>
      <c r="K10" s="78"/>
      <c r="L10" s="78"/>
      <c r="M10" s="78"/>
      <c r="N10" s="78"/>
      <c r="O10" s="78"/>
      <c r="P10" s="9"/>
      <c r="Q10" s="9"/>
      <c r="R10" s="9"/>
      <c r="S10" s="9"/>
      <c r="T10" s="10"/>
      <c r="U10" s="2"/>
      <c r="V10" s="55"/>
      <c r="W10" s="56"/>
      <c r="X10" s="56"/>
      <c r="Y10" s="56"/>
      <c r="Z10" s="56"/>
      <c r="AA10" s="56"/>
      <c r="AB10" s="57"/>
    </row>
    <row r="11" spans="1:28" ht="15.6" x14ac:dyDescent="0.3">
      <c r="A11" s="3"/>
      <c r="B11" s="79" t="s">
        <v>36</v>
      </c>
      <c r="C11" s="80"/>
      <c r="D11" s="26">
        <f>IFERROR(VLOOKUP($C$5, 'Machine Guns'!$A$2:$F$31, 6,FALSE) *$H$8, "")</f>
        <v>100</v>
      </c>
      <c r="E11" s="2"/>
      <c r="F11" s="8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10"/>
      <c r="U11" s="2"/>
      <c r="V11" s="112"/>
      <c r="W11" s="113"/>
      <c r="X11" s="113"/>
      <c r="Y11" s="113"/>
      <c r="Z11" s="113"/>
      <c r="AA11" s="113"/>
      <c r="AB11" s="114"/>
    </row>
    <row r="12" spans="1:28" x14ac:dyDescent="0.3">
      <c r="A12" s="3"/>
      <c r="B12" s="40"/>
      <c r="C12" s="41"/>
      <c r="D12" s="42"/>
      <c r="E12" s="2"/>
      <c r="F12" s="8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10"/>
      <c r="U12" s="2"/>
      <c r="V12" s="112"/>
      <c r="W12" s="113"/>
      <c r="X12" s="113"/>
      <c r="Y12" s="113"/>
      <c r="Z12" s="113"/>
      <c r="AA12" s="113"/>
      <c r="AB12" s="114"/>
    </row>
    <row r="13" spans="1:28" x14ac:dyDescent="0.3">
      <c r="A13" s="3"/>
      <c r="B13" s="81" t="s">
        <v>37</v>
      </c>
      <c r="C13" s="82"/>
      <c r="D13" s="21">
        <f>IFERROR(_xlfn.FLOOR.MATH(PI() * POWER((SQRT(POWER($D$10, 2) + POWER($D$10 * TAN($S$37 * PI()/180), 2)) * $O$37 / (100 - ($D$10 * TAN($S$37 * PI()/180)))), 2), 1), "")</f>
        <v>452</v>
      </c>
      <c r="E13" s="2"/>
      <c r="F13" s="8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10"/>
      <c r="U13" s="2"/>
      <c r="V13" s="112"/>
      <c r="W13" s="113"/>
      <c r="X13" s="113"/>
      <c r="Y13" s="113"/>
      <c r="Z13" s="113"/>
      <c r="AA13" s="113"/>
      <c r="AB13" s="114"/>
    </row>
    <row r="14" spans="1:28" x14ac:dyDescent="0.3">
      <c r="A14" s="3"/>
      <c r="B14" s="8"/>
      <c r="C14" s="9"/>
      <c r="D14" s="10"/>
      <c r="E14" s="2"/>
      <c r="F14" s="8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10"/>
      <c r="U14" s="2"/>
      <c r="V14" s="112"/>
      <c r="W14" s="113"/>
      <c r="X14" s="113"/>
      <c r="Y14" s="113"/>
      <c r="Z14" s="113"/>
      <c r="AA14" s="113"/>
      <c r="AB14" s="114"/>
    </row>
    <row r="15" spans="1:28" x14ac:dyDescent="0.3">
      <c r="A15" s="3"/>
      <c r="B15" s="8"/>
      <c r="C15" s="9"/>
      <c r="D15" s="10"/>
      <c r="E15" s="2"/>
      <c r="F15" s="8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10"/>
      <c r="U15" s="2"/>
      <c r="V15" s="112"/>
      <c r="W15" s="113"/>
      <c r="X15" s="113"/>
      <c r="Y15" s="113"/>
      <c r="Z15" s="113"/>
      <c r="AA15" s="113"/>
      <c r="AB15" s="114"/>
    </row>
    <row r="16" spans="1:28" x14ac:dyDescent="0.3">
      <c r="A16" s="3"/>
      <c r="B16" s="66" t="s">
        <v>38</v>
      </c>
      <c r="C16" s="67"/>
      <c r="D16" s="72">
        <f>IFERROR($P$7/$D$13 * 100, "")</f>
        <v>199.11504424778761</v>
      </c>
      <c r="E16" s="2"/>
      <c r="F16" s="8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10"/>
      <c r="U16" s="2" t="s">
        <v>39</v>
      </c>
      <c r="V16" s="112"/>
      <c r="W16" s="113"/>
      <c r="X16" s="113"/>
      <c r="Y16" s="113"/>
      <c r="Z16" s="113"/>
      <c r="AA16" s="113"/>
      <c r="AB16" s="114"/>
    </row>
    <row r="17" spans="1:28" ht="15" customHeight="1" x14ac:dyDescent="0.3">
      <c r="A17" s="3"/>
      <c r="B17" s="68"/>
      <c r="C17" s="69"/>
      <c r="D17" s="73"/>
      <c r="E17" s="2"/>
      <c r="F17" s="8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10"/>
      <c r="U17" s="2"/>
      <c r="V17" s="112"/>
      <c r="W17" s="113"/>
      <c r="X17" s="113"/>
      <c r="Y17" s="113"/>
      <c r="Z17" s="113"/>
      <c r="AA17" s="113"/>
      <c r="AB17" s="114"/>
    </row>
    <row r="18" spans="1:28" ht="15" customHeight="1" x14ac:dyDescent="0.3">
      <c r="A18" s="3"/>
      <c r="B18" s="70"/>
      <c r="C18" s="71"/>
      <c r="D18" s="74"/>
      <c r="E18" s="2"/>
      <c r="F18" s="8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10"/>
      <c r="U18" s="2"/>
      <c r="V18" s="112"/>
      <c r="W18" s="113"/>
      <c r="X18" s="113"/>
      <c r="Y18" s="113"/>
      <c r="Z18" s="113"/>
      <c r="AA18" s="113"/>
      <c r="AB18" s="114"/>
    </row>
    <row r="19" spans="1:28" x14ac:dyDescent="0.3">
      <c r="A19" s="3"/>
      <c r="B19" s="45"/>
      <c r="C19" s="46"/>
      <c r="D19" s="47"/>
      <c r="E19" s="2"/>
      <c r="F19" s="8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10"/>
      <c r="U19" s="2"/>
      <c r="V19" s="112"/>
      <c r="W19" s="113"/>
      <c r="X19" s="113"/>
      <c r="Y19" s="113"/>
      <c r="Z19" s="113"/>
      <c r="AA19" s="113"/>
      <c r="AB19" s="114"/>
    </row>
    <row r="20" spans="1:28" ht="23.4" x14ac:dyDescent="0.45">
      <c r="A20" s="3"/>
      <c r="B20" s="85" t="s">
        <v>40</v>
      </c>
      <c r="C20" s="86"/>
      <c r="D20" s="87"/>
      <c r="E20" s="2"/>
      <c r="F20" s="8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10"/>
      <c r="U20" s="2"/>
      <c r="V20" s="112"/>
      <c r="W20" s="113"/>
      <c r="X20" s="113"/>
      <c r="Y20" s="113"/>
      <c r="Z20" s="113"/>
      <c r="AA20" s="113"/>
      <c r="AB20" s="114"/>
    </row>
    <row r="21" spans="1:28" ht="21" customHeight="1" x14ac:dyDescent="0.45">
      <c r="A21" s="3"/>
      <c r="B21" s="23" t="s">
        <v>10</v>
      </c>
      <c r="C21" s="88" t="s">
        <v>11</v>
      </c>
      <c r="D21" s="89"/>
      <c r="E21" s="2"/>
      <c r="F21" s="8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10"/>
      <c r="U21" s="2"/>
      <c r="V21" s="112"/>
      <c r="W21" s="113"/>
      <c r="X21" s="113"/>
      <c r="Y21" s="113"/>
      <c r="Z21" s="113"/>
      <c r="AA21" s="113"/>
      <c r="AB21" s="114"/>
    </row>
    <row r="22" spans="1:28" ht="18.75" customHeight="1" x14ac:dyDescent="0.3">
      <c r="A22" s="3"/>
      <c r="B22" s="15"/>
      <c r="C22" s="9"/>
      <c r="D22" s="10"/>
      <c r="E22" s="2"/>
      <c r="F22" s="8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10"/>
      <c r="U22" s="2"/>
      <c r="V22" s="112"/>
      <c r="W22" s="113"/>
      <c r="X22" s="113"/>
      <c r="Y22" s="113"/>
      <c r="Z22" s="113"/>
      <c r="AA22" s="113"/>
      <c r="AB22" s="114"/>
    </row>
    <row r="23" spans="1:28" ht="15.75" customHeight="1" x14ac:dyDescent="0.3">
      <c r="A23" s="3"/>
      <c r="B23" s="90" t="s">
        <v>20</v>
      </c>
      <c r="C23" s="91"/>
      <c r="D23" s="24">
        <f>IFERROR(VLOOKUP($C$21, 'Machine Guns'!$A$2:$F$31, 2,FALSE),"")</f>
        <v>1</v>
      </c>
      <c r="E23" s="2"/>
      <c r="F23" s="8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10"/>
      <c r="U23" s="2"/>
      <c r="V23" s="112"/>
      <c r="W23" s="113"/>
      <c r="X23" s="113"/>
      <c r="Y23" s="113"/>
      <c r="Z23" s="113"/>
      <c r="AA23" s="113"/>
      <c r="AB23" s="114"/>
    </row>
    <row r="24" spans="1:28" ht="15.75" customHeight="1" x14ac:dyDescent="0.3">
      <c r="A24" s="3"/>
      <c r="B24" s="75" t="s">
        <v>26</v>
      </c>
      <c r="C24" s="76"/>
      <c r="D24" s="25">
        <f>IFERROR(VLOOKUP($C$21, 'Machine Guns'!$A$2:$F$31, 3,FALSE),"")</f>
        <v>20</v>
      </c>
      <c r="E24" s="2"/>
      <c r="F24" s="8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10"/>
      <c r="U24" s="2"/>
      <c r="V24" s="112"/>
      <c r="W24" s="113"/>
      <c r="X24" s="113"/>
      <c r="Y24" s="113"/>
      <c r="Z24" s="113"/>
      <c r="AA24" s="113"/>
      <c r="AB24" s="114"/>
    </row>
    <row r="25" spans="1:28" ht="15.75" customHeight="1" x14ac:dyDescent="0.3">
      <c r="A25" s="3"/>
      <c r="B25" s="75" t="s">
        <v>32</v>
      </c>
      <c r="C25" s="76"/>
      <c r="D25" s="25">
        <f>IFERROR(VLOOKUP($C$21, 'Machine Guns'!$A$2:$F$31, 4,FALSE),"")</f>
        <v>100</v>
      </c>
      <c r="E25" s="2"/>
      <c r="F25" s="8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10"/>
      <c r="U25" s="2"/>
      <c r="V25" s="112"/>
      <c r="W25" s="113"/>
      <c r="X25" s="113"/>
      <c r="Y25" s="113"/>
      <c r="Z25" s="113"/>
      <c r="AA25" s="113"/>
      <c r="AB25" s="114"/>
    </row>
    <row r="26" spans="1:28" ht="15.75" customHeight="1" x14ac:dyDescent="0.35">
      <c r="A26" s="3"/>
      <c r="B26" s="75" t="s">
        <v>35</v>
      </c>
      <c r="C26" s="76"/>
      <c r="D26" s="25">
        <f>IFERROR(VLOOKUP($C$21, 'Machine Guns'!$A$2:$F$31, 5,FALSE),"")</f>
        <v>12</v>
      </c>
      <c r="E26" s="2"/>
      <c r="F26" s="92" t="s">
        <v>41</v>
      </c>
      <c r="G26" s="93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10"/>
      <c r="U26" s="2"/>
      <c r="V26" s="112"/>
      <c r="W26" s="113"/>
      <c r="X26" s="113"/>
      <c r="Y26" s="113"/>
      <c r="Z26" s="113"/>
      <c r="AA26" s="113"/>
      <c r="AB26" s="114"/>
    </row>
    <row r="27" spans="1:28" ht="15.75" customHeight="1" x14ac:dyDescent="0.3">
      <c r="A27" s="3"/>
      <c r="B27" s="79" t="s">
        <v>36</v>
      </c>
      <c r="C27" s="80"/>
      <c r="D27" s="26">
        <f>IFERROR(VLOOKUP($C$21, 'Machine Guns'!$A$2:$F$31, 6,FALSE) * $P$8, "")</f>
        <v>150</v>
      </c>
      <c r="E27" s="2"/>
      <c r="F27" s="8"/>
      <c r="G27" s="10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10"/>
      <c r="U27" s="2"/>
      <c r="V27" s="112"/>
      <c r="W27" s="113"/>
      <c r="X27" s="113"/>
      <c r="Y27" s="113"/>
      <c r="Z27" s="113"/>
      <c r="AA27" s="113"/>
      <c r="AB27" s="114"/>
    </row>
    <row r="28" spans="1:28" ht="15" customHeight="1" x14ac:dyDescent="0.3">
      <c r="A28" s="3"/>
      <c r="B28" s="40"/>
      <c r="C28" s="41"/>
      <c r="D28" s="42"/>
      <c r="E28" s="2"/>
      <c r="F28" s="8"/>
      <c r="G28" s="10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10"/>
      <c r="U28" s="2"/>
      <c r="V28" s="112"/>
      <c r="W28" s="113"/>
      <c r="X28" s="113"/>
      <c r="Y28" s="113"/>
      <c r="Z28" s="113"/>
      <c r="AA28" s="113"/>
      <c r="AB28" s="114"/>
    </row>
    <row r="29" spans="1:28" ht="15" customHeight="1" x14ac:dyDescent="0.3">
      <c r="A29" s="3"/>
      <c r="B29" s="81" t="s">
        <v>37</v>
      </c>
      <c r="C29" s="82"/>
      <c r="D29" s="21">
        <f>IFERROR(_xlfn.FLOOR.MATH(PI() * POWER((SQRT(POWER($D$26, 2) + POWER($D$26 * TAN($S$37 * PI()/180), 2)) * $O$37 / (100 - ($D$26 * TAN($S$37 * PI()/180)))), 2), 1), "")</f>
        <v>452</v>
      </c>
      <c r="E29" s="2"/>
      <c r="F29" s="8"/>
      <c r="G29" s="10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10"/>
      <c r="U29" s="2"/>
      <c r="V29" s="112"/>
      <c r="W29" s="113"/>
      <c r="X29" s="113"/>
      <c r="Y29" s="113"/>
      <c r="Z29" s="113"/>
      <c r="AA29" s="113"/>
      <c r="AB29" s="114"/>
    </row>
    <row r="30" spans="1:28" ht="15" customHeight="1" x14ac:dyDescent="0.3">
      <c r="A30" s="3"/>
      <c r="B30" s="8"/>
      <c r="C30" s="9"/>
      <c r="D30" s="10"/>
      <c r="E30" s="2"/>
      <c r="F30" s="8"/>
      <c r="G30" s="10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10"/>
      <c r="U30" s="2"/>
      <c r="V30" s="112"/>
      <c r="W30" s="113"/>
      <c r="X30" s="113"/>
      <c r="Y30" s="113"/>
      <c r="Z30" s="113"/>
      <c r="AA30" s="113"/>
      <c r="AB30" s="114"/>
    </row>
    <row r="31" spans="1:28" ht="15" customHeight="1" x14ac:dyDescent="0.3">
      <c r="A31" s="3"/>
      <c r="B31" s="8"/>
      <c r="C31" s="9"/>
      <c r="D31" s="10"/>
      <c r="E31" s="2"/>
      <c r="F31" s="8"/>
      <c r="G31" s="10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10"/>
      <c r="U31" s="2"/>
      <c r="V31" s="112"/>
      <c r="W31" s="113"/>
      <c r="X31" s="113"/>
      <c r="Y31" s="113"/>
      <c r="Z31" s="113"/>
      <c r="AA31" s="113"/>
      <c r="AB31" s="114"/>
    </row>
    <row r="32" spans="1:28" ht="15" customHeight="1" x14ac:dyDescent="0.3">
      <c r="A32" s="3"/>
      <c r="B32" s="66" t="s">
        <v>38</v>
      </c>
      <c r="C32" s="67"/>
      <c r="D32" s="72">
        <f>IFERROR($H$7/$D$29 * 100, "")</f>
        <v>79.646017699115049</v>
      </c>
      <c r="E32" s="2"/>
      <c r="F32" s="8"/>
      <c r="G32" s="10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10"/>
      <c r="U32" s="2"/>
      <c r="V32" s="112"/>
      <c r="W32" s="113"/>
      <c r="X32" s="113"/>
      <c r="Y32" s="113"/>
      <c r="Z32" s="113"/>
      <c r="AA32" s="113"/>
      <c r="AB32" s="114"/>
    </row>
    <row r="33" spans="1:28" ht="15" customHeight="1" x14ac:dyDescent="0.3">
      <c r="A33" s="3"/>
      <c r="B33" s="68"/>
      <c r="C33" s="69"/>
      <c r="D33" s="73"/>
      <c r="E33" s="2"/>
      <c r="F33" s="8"/>
      <c r="G33" s="10"/>
      <c r="H33" s="58"/>
      <c r="I33" s="59"/>
      <c r="J33" s="59"/>
      <c r="K33" s="9"/>
      <c r="L33" s="9"/>
      <c r="M33" s="9"/>
      <c r="N33" s="9"/>
      <c r="O33" s="9"/>
      <c r="P33" s="9"/>
      <c r="Q33" s="9"/>
      <c r="R33" s="9"/>
      <c r="S33" s="9"/>
      <c r="T33" s="10"/>
      <c r="U33" s="2"/>
      <c r="V33" s="112"/>
      <c r="W33" s="113"/>
      <c r="X33" s="113"/>
      <c r="Y33" s="113"/>
      <c r="Z33" s="113"/>
      <c r="AA33" s="113"/>
      <c r="AB33" s="114"/>
    </row>
    <row r="34" spans="1:28" ht="15" customHeight="1" x14ac:dyDescent="0.3">
      <c r="A34" s="3"/>
      <c r="B34" s="70"/>
      <c r="C34" s="71"/>
      <c r="D34" s="74"/>
      <c r="E34" s="2"/>
      <c r="F34" s="8"/>
      <c r="G34" s="10"/>
      <c r="H34" s="58"/>
      <c r="I34" s="59"/>
      <c r="J34" s="59"/>
      <c r="K34" s="9"/>
      <c r="L34" s="9"/>
      <c r="M34" s="9"/>
      <c r="N34" s="9"/>
      <c r="O34" s="9"/>
      <c r="P34" s="9"/>
      <c r="Q34" s="9"/>
      <c r="R34" s="9"/>
      <c r="S34" s="9"/>
      <c r="T34" s="10"/>
      <c r="U34" s="2"/>
      <c r="V34" s="112"/>
      <c r="W34" s="113"/>
      <c r="X34" s="113"/>
      <c r="Y34" s="113"/>
      <c r="Z34" s="113"/>
      <c r="AA34" s="113"/>
      <c r="AB34" s="114"/>
    </row>
    <row r="35" spans="1:28" ht="15" customHeight="1" x14ac:dyDescent="0.45">
      <c r="A35" s="3"/>
      <c r="B35" s="48"/>
      <c r="C35" s="49"/>
      <c r="D35" s="50"/>
      <c r="E35" s="2"/>
      <c r="F35" s="8"/>
      <c r="G35" s="10"/>
      <c r="H35" s="58"/>
      <c r="I35" s="59"/>
      <c r="J35" s="59"/>
      <c r="K35" s="9"/>
      <c r="L35" s="9"/>
      <c r="M35" s="9"/>
      <c r="N35" s="9"/>
      <c r="O35" s="9"/>
      <c r="P35" s="9"/>
      <c r="Q35" s="9"/>
      <c r="R35" s="9"/>
      <c r="S35" s="9"/>
      <c r="T35" s="10"/>
      <c r="U35" s="2"/>
      <c r="V35" s="112"/>
      <c r="W35" s="113"/>
      <c r="X35" s="113"/>
      <c r="Y35" s="113"/>
      <c r="Z35" s="113"/>
      <c r="AA35" s="113"/>
      <c r="AB35" s="114"/>
    </row>
    <row r="36" spans="1:28" x14ac:dyDescent="0.3">
      <c r="A36" s="3"/>
      <c r="B36" s="11"/>
      <c r="C36" s="12"/>
      <c r="D36" s="13"/>
      <c r="E36" s="2"/>
      <c r="F36" s="11"/>
      <c r="G36" s="13"/>
      <c r="H36" s="9"/>
      <c r="I36" s="9"/>
      <c r="J36" s="9"/>
      <c r="K36" s="9"/>
      <c r="L36" s="9"/>
      <c r="M36" s="9"/>
      <c r="N36" s="9"/>
      <c r="O36" s="9"/>
      <c r="P36" s="9"/>
      <c r="Q36" s="94" t="s">
        <v>42</v>
      </c>
      <c r="R36" s="94"/>
      <c r="S36" s="94"/>
      <c r="T36" s="95"/>
      <c r="U36" s="2"/>
      <c r="V36" s="112"/>
      <c r="W36" s="113"/>
      <c r="X36" s="113"/>
      <c r="Y36" s="113"/>
      <c r="Z36" s="113"/>
      <c r="AA36" s="113"/>
      <c r="AB36" s="114"/>
    </row>
    <row r="37" spans="1:28" ht="26.25" customHeight="1" x14ac:dyDescent="0.4">
      <c r="A37" s="3"/>
      <c r="B37" s="2"/>
      <c r="C37" s="2"/>
      <c r="D37" s="2"/>
      <c r="E37" s="2"/>
      <c r="F37" s="104" t="s">
        <v>43</v>
      </c>
      <c r="G37" s="105"/>
      <c r="H37" s="83" t="s">
        <v>44</v>
      </c>
      <c r="I37" s="84"/>
      <c r="J37" s="29"/>
      <c r="K37" s="29"/>
      <c r="L37" s="29"/>
      <c r="M37" s="29"/>
      <c r="N37" s="30" t="s">
        <v>45</v>
      </c>
      <c r="O37" s="22">
        <v>100</v>
      </c>
      <c r="P37" s="29"/>
      <c r="Q37" s="106" t="s">
        <v>46</v>
      </c>
      <c r="R37" s="107"/>
      <c r="S37" s="83">
        <v>0</v>
      </c>
      <c r="T37" s="84"/>
      <c r="U37" s="2"/>
      <c r="V37" s="112"/>
      <c r="W37" s="113"/>
      <c r="X37" s="113"/>
      <c r="Y37" s="113"/>
      <c r="Z37" s="113"/>
      <c r="AA37" s="113"/>
      <c r="AB37" s="114"/>
    </row>
    <row r="38" spans="1:28" s="2" customFormat="1" x14ac:dyDescent="0.3">
      <c r="A38" s="3"/>
      <c r="V38" s="112"/>
      <c r="W38" s="113"/>
      <c r="X38" s="113"/>
      <c r="Y38" s="113"/>
      <c r="Z38" s="113"/>
      <c r="AA38" s="113"/>
      <c r="AB38" s="114"/>
    </row>
    <row r="39" spans="1:28" s="2" customFormat="1" x14ac:dyDescent="0.3">
      <c r="A39" s="3"/>
      <c r="V39" s="112"/>
      <c r="W39" s="113"/>
      <c r="X39" s="113"/>
      <c r="Y39" s="113"/>
      <c r="Z39" s="113"/>
      <c r="AA39" s="113"/>
      <c r="AB39" s="114"/>
    </row>
    <row r="40" spans="1:28" s="2" customFormat="1" x14ac:dyDescent="0.3">
      <c r="A40" s="3"/>
      <c r="V40" s="112"/>
      <c r="W40" s="113"/>
      <c r="X40" s="113"/>
      <c r="Y40" s="113"/>
      <c r="Z40" s="113"/>
      <c r="AA40" s="113"/>
      <c r="AB40" s="114"/>
    </row>
    <row r="41" spans="1:28" s="2" customFormat="1" x14ac:dyDescent="0.3">
      <c r="A41" s="3"/>
      <c r="V41" s="112"/>
      <c r="W41" s="113"/>
      <c r="X41" s="113"/>
      <c r="Y41" s="113"/>
      <c r="Z41" s="113"/>
      <c r="AA41" s="113"/>
      <c r="AB41" s="114"/>
    </row>
    <row r="42" spans="1:28" s="2" customFormat="1" x14ac:dyDescent="0.3">
      <c r="A42" s="3"/>
      <c r="V42" s="112"/>
      <c r="W42" s="113"/>
      <c r="X42" s="113"/>
      <c r="Y42" s="113"/>
      <c r="Z42" s="113"/>
      <c r="AA42" s="113"/>
      <c r="AB42" s="114"/>
    </row>
    <row r="43" spans="1:28" s="2" customFormat="1" x14ac:dyDescent="0.3">
      <c r="A43" s="3"/>
      <c r="V43" s="112"/>
      <c r="W43" s="113"/>
      <c r="X43" s="113"/>
      <c r="Y43" s="113"/>
      <c r="Z43" s="113"/>
      <c r="AA43" s="113"/>
      <c r="AB43" s="114"/>
    </row>
    <row r="44" spans="1:28" s="2" customFormat="1" x14ac:dyDescent="0.3">
      <c r="A44" s="3"/>
      <c r="V44" s="112"/>
      <c r="W44" s="113"/>
      <c r="X44" s="113"/>
      <c r="Y44" s="113"/>
      <c r="Z44" s="113"/>
      <c r="AA44" s="113"/>
      <c r="AB44" s="114"/>
    </row>
    <row r="45" spans="1:28" s="2" customFormat="1" x14ac:dyDescent="0.3">
      <c r="A45" s="3"/>
      <c r="V45" s="112"/>
      <c r="W45" s="113"/>
      <c r="X45" s="113"/>
      <c r="Y45" s="113"/>
      <c r="Z45" s="113"/>
      <c r="AA45" s="113"/>
      <c r="AB45" s="114"/>
    </row>
    <row r="46" spans="1:28" s="2" customFormat="1" x14ac:dyDescent="0.3">
      <c r="A46" s="3"/>
      <c r="V46" s="112"/>
      <c r="W46" s="113"/>
      <c r="X46" s="113"/>
      <c r="Y46" s="113"/>
      <c r="Z46" s="113"/>
      <c r="AA46" s="113"/>
      <c r="AB46" s="114"/>
    </row>
    <row r="47" spans="1:28" s="2" customFormat="1" x14ac:dyDescent="0.3">
      <c r="A47" s="3"/>
      <c r="V47" s="112"/>
      <c r="W47" s="113"/>
      <c r="X47" s="113"/>
      <c r="Y47" s="113"/>
      <c r="Z47" s="113"/>
      <c r="AA47" s="113"/>
      <c r="AB47" s="114"/>
    </row>
    <row r="48" spans="1:28" s="2" customFormat="1" x14ac:dyDescent="0.3">
      <c r="A48" s="3"/>
      <c r="V48" s="112"/>
      <c r="W48" s="113"/>
      <c r="X48" s="113"/>
      <c r="Y48" s="113"/>
      <c r="Z48" s="113"/>
      <c r="AA48" s="113"/>
      <c r="AB48" s="114"/>
    </row>
    <row r="49" spans="1:28" s="2" customFormat="1" x14ac:dyDescent="0.3">
      <c r="A49" s="3"/>
      <c r="V49" s="112"/>
      <c r="W49" s="113"/>
      <c r="X49" s="113"/>
      <c r="Y49" s="113"/>
      <c r="Z49" s="113"/>
      <c r="AA49" s="113"/>
      <c r="AB49" s="114"/>
    </row>
    <row r="50" spans="1:28" s="2" customFormat="1" x14ac:dyDescent="0.3">
      <c r="A50" s="3"/>
      <c r="V50" s="112"/>
      <c r="W50" s="113"/>
      <c r="X50" s="113"/>
      <c r="Y50" s="113"/>
      <c r="Z50" s="113"/>
      <c r="AA50" s="113"/>
      <c r="AB50" s="114"/>
    </row>
    <row r="51" spans="1:28" s="2" customFormat="1" x14ac:dyDescent="0.3">
      <c r="A51" s="3"/>
      <c r="V51" s="112"/>
      <c r="W51" s="113"/>
      <c r="X51" s="113"/>
      <c r="Y51" s="113"/>
      <c r="Z51" s="113"/>
      <c r="AA51" s="113"/>
      <c r="AB51" s="114"/>
    </row>
    <row r="52" spans="1:28" s="2" customFormat="1" x14ac:dyDescent="0.3">
      <c r="A52" s="3"/>
      <c r="V52" s="112"/>
      <c r="W52" s="113"/>
      <c r="X52" s="113"/>
      <c r="Y52" s="113"/>
      <c r="Z52" s="113"/>
      <c r="AA52" s="113"/>
      <c r="AB52" s="114"/>
    </row>
    <row r="53" spans="1:28" s="2" customFormat="1" x14ac:dyDescent="0.3">
      <c r="A53" s="3"/>
      <c r="V53" s="112"/>
      <c r="W53" s="113"/>
      <c r="X53" s="113"/>
      <c r="Y53" s="113"/>
      <c r="Z53" s="113"/>
      <c r="AA53" s="113"/>
      <c r="AB53" s="114"/>
    </row>
    <row r="54" spans="1:28" s="2" customFormat="1" x14ac:dyDescent="0.3">
      <c r="A54" s="3"/>
      <c r="V54" s="112"/>
      <c r="W54" s="113"/>
      <c r="X54" s="113"/>
      <c r="Y54" s="113"/>
      <c r="Z54" s="113"/>
      <c r="AA54" s="113"/>
      <c r="AB54" s="114"/>
    </row>
    <row r="55" spans="1:28" s="2" customFormat="1" x14ac:dyDescent="0.3">
      <c r="A55" s="3"/>
      <c r="V55" s="112"/>
      <c r="W55" s="113"/>
      <c r="X55" s="113"/>
      <c r="Y55" s="113"/>
      <c r="Z55" s="113"/>
      <c r="AA55" s="113"/>
      <c r="AB55" s="114"/>
    </row>
    <row r="56" spans="1:28" s="2" customFormat="1" x14ac:dyDescent="0.3">
      <c r="A56" s="3"/>
      <c r="V56" s="112"/>
      <c r="W56" s="113"/>
      <c r="X56" s="113"/>
      <c r="Y56" s="113"/>
      <c r="Z56" s="113"/>
      <c r="AA56" s="113"/>
      <c r="AB56" s="114"/>
    </row>
    <row r="57" spans="1:28" s="2" customFormat="1" x14ac:dyDescent="0.3">
      <c r="A57" s="3"/>
      <c r="V57" s="112"/>
      <c r="W57" s="113"/>
      <c r="X57" s="113"/>
      <c r="Y57" s="113"/>
      <c r="Z57" s="113"/>
      <c r="AA57" s="113"/>
      <c r="AB57" s="114"/>
    </row>
    <row r="58" spans="1:28" s="2" customFormat="1" x14ac:dyDescent="0.3">
      <c r="A58" s="3"/>
      <c r="V58" s="112"/>
      <c r="W58" s="113"/>
      <c r="X58" s="113"/>
      <c r="Y58" s="113"/>
      <c r="Z58" s="113"/>
      <c r="AA58" s="113"/>
      <c r="AB58" s="114"/>
    </row>
    <row r="59" spans="1:28" s="2" customFormat="1" x14ac:dyDescent="0.3">
      <c r="A59" s="3"/>
      <c r="V59" s="112"/>
      <c r="W59" s="113"/>
      <c r="X59" s="113"/>
      <c r="Y59" s="113"/>
      <c r="Z59" s="113"/>
      <c r="AA59" s="113"/>
      <c r="AB59" s="114"/>
    </row>
    <row r="60" spans="1:28" s="2" customFormat="1" x14ac:dyDescent="0.3">
      <c r="A60" s="3"/>
      <c r="V60" s="112"/>
      <c r="W60" s="113"/>
      <c r="X60" s="113"/>
      <c r="Y60" s="113"/>
      <c r="Z60" s="113"/>
      <c r="AA60" s="113"/>
      <c r="AB60" s="114"/>
    </row>
    <row r="61" spans="1:28" s="2" customFormat="1" x14ac:dyDescent="0.3">
      <c r="A61" s="3"/>
      <c r="V61" s="112"/>
      <c r="W61" s="113"/>
      <c r="X61" s="113"/>
      <c r="Y61" s="113"/>
      <c r="Z61" s="113"/>
      <c r="AA61" s="113"/>
      <c r="AB61" s="114"/>
    </row>
    <row r="62" spans="1:28" s="2" customFormat="1" x14ac:dyDescent="0.3">
      <c r="A62" s="3"/>
      <c r="V62" s="112"/>
      <c r="W62" s="113"/>
      <c r="X62" s="113"/>
      <c r="Y62" s="113"/>
      <c r="Z62" s="113"/>
      <c r="AA62" s="113"/>
      <c r="AB62" s="114"/>
    </row>
    <row r="63" spans="1:28" s="2" customFormat="1" x14ac:dyDescent="0.3">
      <c r="A63" s="3"/>
      <c r="V63" s="112"/>
      <c r="W63" s="113"/>
      <c r="X63" s="113"/>
      <c r="Y63" s="113"/>
      <c r="Z63" s="113"/>
      <c r="AA63" s="113"/>
      <c r="AB63" s="114"/>
    </row>
    <row r="64" spans="1:28" s="2" customFormat="1" x14ac:dyDescent="0.3">
      <c r="A64" s="3"/>
      <c r="V64" s="112"/>
      <c r="W64" s="113"/>
      <c r="X64" s="113"/>
      <c r="Y64" s="113"/>
      <c r="Z64" s="113"/>
      <c r="AA64" s="113"/>
      <c r="AB64" s="114"/>
    </row>
    <row r="65" spans="1:28" s="2" customFormat="1" x14ac:dyDescent="0.3">
      <c r="A65" s="3"/>
      <c r="V65" s="112"/>
      <c r="W65" s="113"/>
      <c r="X65" s="113"/>
      <c r="Y65" s="113"/>
      <c r="Z65" s="113"/>
      <c r="AA65" s="113"/>
      <c r="AB65" s="114"/>
    </row>
    <row r="66" spans="1:28" s="2" customFormat="1" x14ac:dyDescent="0.3">
      <c r="A66" s="3"/>
      <c r="V66" s="112"/>
      <c r="W66" s="113"/>
      <c r="X66" s="113"/>
      <c r="Y66" s="113"/>
      <c r="Z66" s="113"/>
      <c r="AA66" s="113"/>
      <c r="AB66" s="114"/>
    </row>
    <row r="67" spans="1:28" s="2" customFormat="1" x14ac:dyDescent="0.3">
      <c r="A67" s="3"/>
      <c r="V67" s="112"/>
      <c r="W67" s="113"/>
      <c r="X67" s="113"/>
      <c r="Y67" s="113"/>
      <c r="Z67" s="113"/>
      <c r="AA67" s="113"/>
      <c r="AB67" s="114"/>
    </row>
    <row r="68" spans="1:28" s="2" customFormat="1" x14ac:dyDescent="0.3">
      <c r="A68" s="3"/>
      <c r="V68" s="112"/>
      <c r="W68" s="113"/>
      <c r="X68" s="113"/>
      <c r="Y68" s="113"/>
      <c r="Z68" s="113"/>
      <c r="AA68" s="113"/>
      <c r="AB68" s="114"/>
    </row>
    <row r="69" spans="1:28" s="2" customFormat="1" x14ac:dyDescent="0.3">
      <c r="A69" s="3"/>
      <c r="V69" s="112"/>
      <c r="W69" s="113"/>
      <c r="X69" s="113"/>
      <c r="Y69" s="113"/>
      <c r="Z69" s="113"/>
      <c r="AA69" s="113"/>
      <c r="AB69" s="114"/>
    </row>
    <row r="70" spans="1:28" s="2" customFormat="1" x14ac:dyDescent="0.3">
      <c r="A70" s="3"/>
      <c r="V70" s="112"/>
      <c r="W70" s="113"/>
      <c r="X70" s="113"/>
      <c r="Y70" s="113"/>
      <c r="Z70" s="113"/>
      <c r="AA70" s="113"/>
      <c r="AB70" s="114"/>
    </row>
    <row r="71" spans="1:28" s="2" customFormat="1" x14ac:dyDescent="0.3">
      <c r="A71" s="3"/>
      <c r="V71" s="112"/>
      <c r="W71" s="113"/>
      <c r="X71" s="113"/>
      <c r="Y71" s="113"/>
      <c r="Z71" s="113"/>
      <c r="AA71" s="113"/>
      <c r="AB71" s="114"/>
    </row>
    <row r="72" spans="1:28" s="2" customFormat="1" x14ac:dyDescent="0.3">
      <c r="A72" s="3"/>
      <c r="V72" s="112"/>
      <c r="W72" s="113"/>
      <c r="X72" s="113"/>
      <c r="Y72" s="113"/>
      <c r="Z72" s="113"/>
      <c r="AA72" s="113"/>
      <c r="AB72" s="114"/>
    </row>
    <row r="73" spans="1:28" s="2" customFormat="1" x14ac:dyDescent="0.3">
      <c r="A73" s="3"/>
      <c r="V73" s="112"/>
      <c r="W73" s="113"/>
      <c r="X73" s="113"/>
      <c r="Y73" s="113"/>
      <c r="Z73" s="113"/>
      <c r="AA73" s="113"/>
      <c r="AB73" s="114"/>
    </row>
    <row r="74" spans="1:28" s="2" customFormat="1" x14ac:dyDescent="0.3">
      <c r="A74" s="3"/>
      <c r="V74" s="112"/>
      <c r="W74" s="113"/>
      <c r="X74" s="113"/>
      <c r="Y74" s="113"/>
      <c r="Z74" s="113"/>
      <c r="AA74" s="113"/>
      <c r="AB74" s="114"/>
    </row>
    <row r="75" spans="1:28" s="2" customFormat="1" x14ac:dyDescent="0.3">
      <c r="A75" s="3"/>
      <c r="V75" s="112"/>
      <c r="W75" s="113"/>
      <c r="X75" s="113"/>
      <c r="Y75" s="113"/>
      <c r="Z75" s="113"/>
      <c r="AA75" s="113"/>
      <c r="AB75" s="114"/>
    </row>
    <row r="76" spans="1:28" s="2" customFormat="1" x14ac:dyDescent="0.3">
      <c r="A76" s="3"/>
      <c r="V76" s="112"/>
      <c r="W76" s="113"/>
      <c r="X76" s="113"/>
      <c r="Y76" s="113"/>
      <c r="Z76" s="113"/>
      <c r="AA76" s="113"/>
      <c r="AB76" s="114"/>
    </row>
    <row r="77" spans="1:28" s="2" customFormat="1" x14ac:dyDescent="0.3">
      <c r="A77" s="3"/>
      <c r="V77" s="112"/>
      <c r="W77" s="113"/>
      <c r="X77" s="113"/>
      <c r="Y77" s="113"/>
      <c r="Z77" s="113"/>
      <c r="AA77" s="113"/>
      <c r="AB77" s="114"/>
    </row>
    <row r="78" spans="1:28" s="2" customFormat="1" x14ac:dyDescent="0.3">
      <c r="A78" s="3"/>
      <c r="V78" s="112"/>
      <c r="W78" s="113"/>
      <c r="X78" s="113"/>
      <c r="Y78" s="113"/>
      <c r="Z78" s="113"/>
      <c r="AA78" s="113"/>
      <c r="AB78" s="114"/>
    </row>
    <row r="79" spans="1:28" s="2" customFormat="1" x14ac:dyDescent="0.3">
      <c r="A79" s="3"/>
      <c r="V79" s="112"/>
      <c r="W79" s="113"/>
      <c r="X79" s="113"/>
      <c r="Y79" s="113"/>
      <c r="Z79" s="113"/>
      <c r="AA79" s="113"/>
      <c r="AB79" s="114"/>
    </row>
    <row r="80" spans="1:28" s="2" customFormat="1" x14ac:dyDescent="0.3">
      <c r="A80" s="3"/>
      <c r="V80" s="112"/>
      <c r="W80" s="113"/>
      <c r="X80" s="113"/>
      <c r="Y80" s="113"/>
      <c r="Z80" s="113"/>
      <c r="AA80" s="113"/>
      <c r="AB80" s="114"/>
    </row>
    <row r="81" spans="1:28" s="2" customFormat="1" x14ac:dyDescent="0.3">
      <c r="A81" s="3"/>
      <c r="V81" s="112"/>
      <c r="W81" s="113"/>
      <c r="X81" s="113"/>
      <c r="Y81" s="113"/>
      <c r="Z81" s="113"/>
      <c r="AA81" s="113"/>
      <c r="AB81" s="114"/>
    </row>
    <row r="82" spans="1:28" s="2" customFormat="1" x14ac:dyDescent="0.3">
      <c r="A82" s="3"/>
      <c r="V82" s="112"/>
      <c r="W82" s="113"/>
      <c r="X82" s="113"/>
      <c r="Y82" s="113"/>
      <c r="Z82" s="113"/>
      <c r="AA82" s="113"/>
      <c r="AB82" s="114"/>
    </row>
    <row r="83" spans="1:28" s="2" customFormat="1" x14ac:dyDescent="0.3">
      <c r="A83" s="3"/>
      <c r="V83" s="112"/>
      <c r="W83" s="113"/>
      <c r="X83" s="113"/>
      <c r="Y83" s="113"/>
      <c r="Z83" s="113"/>
      <c r="AA83" s="113"/>
      <c r="AB83" s="114"/>
    </row>
    <row r="84" spans="1:28" s="2" customFormat="1" x14ac:dyDescent="0.3">
      <c r="A84" s="3"/>
      <c r="V84" s="112"/>
      <c r="W84" s="113"/>
      <c r="X84" s="113"/>
      <c r="Y84" s="113"/>
      <c r="Z84" s="113"/>
      <c r="AA84" s="113"/>
      <c r="AB84" s="114"/>
    </row>
    <row r="85" spans="1:28" s="2" customFormat="1" x14ac:dyDescent="0.3">
      <c r="A85" s="3"/>
      <c r="V85" s="112"/>
      <c r="W85" s="113"/>
      <c r="X85" s="113"/>
      <c r="Y85" s="113"/>
      <c r="Z85" s="113"/>
      <c r="AA85" s="113"/>
      <c r="AB85" s="114"/>
    </row>
    <row r="86" spans="1:28" s="2" customFormat="1" x14ac:dyDescent="0.3">
      <c r="A86" s="3"/>
      <c r="V86" s="112"/>
      <c r="W86" s="113"/>
      <c r="X86" s="113"/>
      <c r="Y86" s="113"/>
      <c r="Z86" s="113"/>
      <c r="AA86" s="113"/>
      <c r="AB86" s="114"/>
    </row>
    <row r="87" spans="1:28" s="2" customFormat="1" x14ac:dyDescent="0.3">
      <c r="A87" s="3"/>
      <c r="V87" s="112"/>
      <c r="W87" s="113"/>
      <c r="X87" s="113"/>
      <c r="Y87" s="113"/>
      <c r="Z87" s="113"/>
      <c r="AA87" s="113"/>
      <c r="AB87" s="114"/>
    </row>
    <row r="88" spans="1:28" s="2" customFormat="1" x14ac:dyDescent="0.3">
      <c r="A88" s="3"/>
      <c r="V88" s="112"/>
      <c r="W88" s="113"/>
      <c r="X88" s="113"/>
      <c r="Y88" s="113"/>
      <c r="Z88" s="113"/>
      <c r="AA88" s="113"/>
      <c r="AB88" s="114"/>
    </row>
    <row r="89" spans="1:28" s="2" customFormat="1" x14ac:dyDescent="0.3">
      <c r="A89" s="3"/>
      <c r="V89" s="112"/>
      <c r="W89" s="113"/>
      <c r="X89" s="113"/>
      <c r="Y89" s="113"/>
      <c r="Z89" s="113"/>
      <c r="AA89" s="113"/>
      <c r="AB89" s="114"/>
    </row>
    <row r="90" spans="1:28" s="2" customFormat="1" x14ac:dyDescent="0.3">
      <c r="A90" s="3"/>
      <c r="V90" s="112"/>
      <c r="W90" s="113"/>
      <c r="X90" s="113"/>
      <c r="Y90" s="113"/>
      <c r="Z90" s="113"/>
      <c r="AA90" s="113"/>
      <c r="AB90" s="114"/>
    </row>
    <row r="91" spans="1:28" s="2" customFormat="1" x14ac:dyDescent="0.3">
      <c r="A91" s="3"/>
      <c r="V91" s="112"/>
      <c r="W91" s="113"/>
      <c r="X91" s="113"/>
      <c r="Y91" s="113"/>
      <c r="Z91" s="113"/>
      <c r="AA91" s="113"/>
      <c r="AB91" s="114"/>
    </row>
    <row r="92" spans="1:28" s="2" customFormat="1" x14ac:dyDescent="0.3">
      <c r="A92" s="3"/>
      <c r="V92" s="112"/>
      <c r="W92" s="113"/>
      <c r="X92" s="113"/>
      <c r="Y92" s="113"/>
      <c r="Z92" s="113"/>
      <c r="AA92" s="113"/>
      <c r="AB92" s="114"/>
    </row>
    <row r="93" spans="1:28" s="2" customFormat="1" x14ac:dyDescent="0.3">
      <c r="A93" s="3"/>
      <c r="V93" s="112"/>
      <c r="W93" s="113"/>
      <c r="X93" s="113"/>
      <c r="Y93" s="113"/>
      <c r="Z93" s="113"/>
      <c r="AA93" s="113"/>
      <c r="AB93" s="114"/>
    </row>
    <row r="94" spans="1:28" s="2" customFormat="1" x14ac:dyDescent="0.3">
      <c r="A94" s="3"/>
      <c r="V94" s="112"/>
      <c r="W94" s="113"/>
      <c r="X94" s="113"/>
      <c r="Y94" s="113"/>
      <c r="Z94" s="113"/>
      <c r="AA94" s="113"/>
      <c r="AB94" s="114"/>
    </row>
    <row r="95" spans="1:28" s="2" customFormat="1" x14ac:dyDescent="0.3">
      <c r="A95" s="3"/>
      <c r="V95" s="112"/>
      <c r="W95" s="113"/>
      <c r="X95" s="113"/>
      <c r="Y95" s="113"/>
      <c r="Z95" s="113"/>
      <c r="AA95" s="113"/>
      <c r="AB95" s="114"/>
    </row>
    <row r="96" spans="1:28" s="2" customFormat="1" x14ac:dyDescent="0.3">
      <c r="A96" s="3"/>
      <c r="V96" s="112"/>
      <c r="W96" s="113"/>
      <c r="X96" s="113"/>
      <c r="Y96" s="113"/>
      <c r="Z96" s="113"/>
      <c r="AA96" s="113"/>
      <c r="AB96" s="114"/>
    </row>
    <row r="97" spans="1:28" s="2" customFormat="1" x14ac:dyDescent="0.3">
      <c r="A97" s="3"/>
      <c r="V97" s="112"/>
      <c r="W97" s="113"/>
      <c r="X97" s="113"/>
      <c r="Y97" s="113"/>
      <c r="Z97" s="113"/>
      <c r="AA97" s="113"/>
      <c r="AB97" s="114"/>
    </row>
    <row r="98" spans="1:28" s="2" customFormat="1" x14ac:dyDescent="0.3">
      <c r="A98" s="3"/>
      <c r="V98" s="112"/>
      <c r="W98" s="113"/>
      <c r="X98" s="113"/>
      <c r="Y98" s="113"/>
      <c r="Z98" s="113"/>
      <c r="AA98" s="113"/>
      <c r="AB98" s="114"/>
    </row>
    <row r="99" spans="1:28" s="2" customFormat="1" x14ac:dyDescent="0.3">
      <c r="A99" s="3"/>
      <c r="V99" s="112"/>
      <c r="W99" s="113"/>
      <c r="X99" s="113"/>
      <c r="Y99" s="113"/>
      <c r="Z99" s="113"/>
      <c r="AA99" s="113"/>
      <c r="AB99" s="114"/>
    </row>
    <row r="100" spans="1:28" s="2" customFormat="1" x14ac:dyDescent="0.3">
      <c r="A100" s="3"/>
      <c r="V100" s="112"/>
      <c r="W100" s="113"/>
      <c r="X100" s="113"/>
      <c r="Y100" s="113"/>
      <c r="Z100" s="113"/>
      <c r="AA100" s="113"/>
      <c r="AB100" s="114"/>
    </row>
    <row r="101" spans="1:28" s="2" customFormat="1" x14ac:dyDescent="0.3">
      <c r="A101" s="3"/>
      <c r="V101" s="112"/>
      <c r="W101" s="113"/>
      <c r="X101" s="113"/>
      <c r="Y101" s="113"/>
      <c r="Z101" s="113"/>
      <c r="AA101" s="113"/>
      <c r="AB101" s="114"/>
    </row>
    <row r="102" spans="1:28" s="2" customFormat="1" x14ac:dyDescent="0.3">
      <c r="A102" s="3"/>
      <c r="V102" s="112"/>
      <c r="W102" s="113"/>
      <c r="X102" s="113"/>
      <c r="Y102" s="113"/>
      <c r="Z102" s="113"/>
      <c r="AA102" s="113"/>
      <c r="AB102" s="114"/>
    </row>
    <row r="103" spans="1:28" s="2" customFormat="1" x14ac:dyDescent="0.3">
      <c r="A103" s="3"/>
      <c r="V103" s="112"/>
      <c r="W103" s="113"/>
      <c r="X103" s="113"/>
      <c r="Y103" s="113"/>
      <c r="Z103" s="113"/>
      <c r="AA103" s="113"/>
      <c r="AB103" s="114"/>
    </row>
    <row r="104" spans="1:28" s="2" customFormat="1" x14ac:dyDescent="0.3">
      <c r="A104" s="3"/>
      <c r="V104" s="112"/>
      <c r="W104" s="113"/>
      <c r="X104" s="113"/>
      <c r="Y104" s="113"/>
      <c r="Z104" s="113"/>
      <c r="AA104" s="113"/>
      <c r="AB104" s="114"/>
    </row>
    <row r="105" spans="1:28" s="2" customFormat="1" x14ac:dyDescent="0.3">
      <c r="A105" s="3"/>
      <c r="V105" s="112"/>
      <c r="W105" s="113"/>
      <c r="X105" s="113"/>
      <c r="Y105" s="113"/>
      <c r="Z105" s="113"/>
      <c r="AA105" s="113"/>
      <c r="AB105" s="114"/>
    </row>
    <row r="106" spans="1:28" s="2" customFormat="1" x14ac:dyDescent="0.3">
      <c r="A106" s="3"/>
      <c r="V106" s="112"/>
      <c r="W106" s="113"/>
      <c r="X106" s="113"/>
      <c r="Y106" s="113"/>
      <c r="Z106" s="113"/>
      <c r="AA106" s="113"/>
      <c r="AB106" s="114"/>
    </row>
    <row r="107" spans="1:28" s="2" customFormat="1" x14ac:dyDescent="0.3">
      <c r="A107" s="3"/>
      <c r="V107" s="112"/>
      <c r="W107" s="113"/>
      <c r="X107" s="113"/>
      <c r="Y107" s="113"/>
      <c r="Z107" s="113"/>
      <c r="AA107" s="113"/>
      <c r="AB107" s="114"/>
    </row>
    <row r="108" spans="1:28" s="2" customFormat="1" x14ac:dyDescent="0.3">
      <c r="A108" s="3"/>
      <c r="V108" s="112"/>
      <c r="W108" s="113"/>
      <c r="X108" s="113"/>
      <c r="Y108" s="113"/>
      <c r="Z108" s="113"/>
      <c r="AA108" s="113"/>
      <c r="AB108" s="114"/>
    </row>
    <row r="109" spans="1:28" s="2" customFormat="1" x14ac:dyDescent="0.3">
      <c r="A109" s="3"/>
      <c r="V109" s="112"/>
      <c r="W109" s="113"/>
      <c r="X109" s="113"/>
      <c r="Y109" s="113"/>
      <c r="Z109" s="113"/>
      <c r="AA109" s="113"/>
      <c r="AB109" s="114"/>
    </row>
    <row r="110" spans="1:28" s="2" customFormat="1" x14ac:dyDescent="0.3">
      <c r="A110" s="3"/>
      <c r="V110" s="112"/>
      <c r="W110" s="113"/>
      <c r="X110" s="113"/>
      <c r="Y110" s="113"/>
      <c r="Z110" s="113"/>
      <c r="AA110" s="113"/>
      <c r="AB110" s="114"/>
    </row>
    <row r="111" spans="1:28" s="2" customFormat="1" x14ac:dyDescent="0.3">
      <c r="A111" s="3"/>
      <c r="V111" s="112"/>
      <c r="W111" s="113"/>
      <c r="X111" s="113"/>
      <c r="Y111" s="113"/>
      <c r="Z111" s="113"/>
      <c r="AA111" s="113"/>
      <c r="AB111" s="114"/>
    </row>
    <row r="112" spans="1:28" s="2" customFormat="1" x14ac:dyDescent="0.3">
      <c r="A112" s="3"/>
      <c r="V112" s="112"/>
      <c r="W112" s="113"/>
      <c r="X112" s="113"/>
      <c r="Y112" s="113"/>
      <c r="Z112" s="113"/>
      <c r="AA112" s="113"/>
      <c r="AB112" s="114"/>
    </row>
    <row r="113" spans="1:28" s="2" customFormat="1" x14ac:dyDescent="0.3">
      <c r="A113" s="3"/>
      <c r="V113" s="112"/>
      <c r="W113" s="113"/>
      <c r="X113" s="113"/>
      <c r="Y113" s="113"/>
      <c r="Z113" s="113"/>
      <c r="AA113" s="113"/>
      <c r="AB113" s="114"/>
    </row>
    <row r="114" spans="1:28" s="2" customFormat="1" x14ac:dyDescent="0.3">
      <c r="A114" s="3"/>
      <c r="V114" s="112"/>
      <c r="W114" s="113"/>
      <c r="X114" s="113"/>
      <c r="Y114" s="113"/>
      <c r="Z114" s="113"/>
      <c r="AA114" s="113"/>
      <c r="AB114" s="114"/>
    </row>
    <row r="115" spans="1:28" s="2" customFormat="1" x14ac:dyDescent="0.3">
      <c r="A115" s="3"/>
      <c r="V115" s="112"/>
      <c r="W115" s="113"/>
      <c r="X115" s="113"/>
      <c r="Y115" s="113"/>
      <c r="Z115" s="113"/>
      <c r="AA115" s="113"/>
      <c r="AB115" s="114"/>
    </row>
    <row r="116" spans="1:28" s="2" customFormat="1" x14ac:dyDescent="0.3">
      <c r="A116" s="3"/>
      <c r="V116" s="112"/>
      <c r="W116" s="113"/>
      <c r="X116" s="113"/>
      <c r="Y116" s="113"/>
      <c r="Z116" s="113"/>
      <c r="AA116" s="113"/>
      <c r="AB116" s="114"/>
    </row>
    <row r="117" spans="1:28" s="2" customFormat="1" x14ac:dyDescent="0.3">
      <c r="A117" s="3"/>
      <c r="V117" s="112"/>
      <c r="W117" s="113"/>
      <c r="X117" s="113"/>
      <c r="Y117" s="113"/>
      <c r="Z117" s="113"/>
      <c r="AA117" s="113"/>
      <c r="AB117" s="114"/>
    </row>
    <row r="118" spans="1:28" s="2" customFormat="1" x14ac:dyDescent="0.3">
      <c r="A118" s="3"/>
      <c r="V118" s="112"/>
      <c r="W118" s="113"/>
      <c r="X118" s="113"/>
      <c r="Y118" s="113"/>
      <c r="Z118" s="113"/>
      <c r="AA118" s="113"/>
      <c r="AB118" s="114"/>
    </row>
    <row r="119" spans="1:28" s="2" customFormat="1" x14ac:dyDescent="0.3">
      <c r="A119" s="3"/>
      <c r="V119" s="112"/>
      <c r="W119" s="113"/>
      <c r="X119" s="113"/>
      <c r="Y119" s="113"/>
      <c r="Z119" s="113"/>
      <c r="AA119" s="113"/>
      <c r="AB119" s="114"/>
    </row>
    <row r="120" spans="1:28" s="2" customFormat="1" x14ac:dyDescent="0.3">
      <c r="A120" s="3"/>
      <c r="V120" s="112"/>
      <c r="W120" s="113"/>
      <c r="X120" s="113"/>
      <c r="Y120" s="113"/>
      <c r="Z120" s="113"/>
      <c r="AA120" s="113"/>
      <c r="AB120" s="114"/>
    </row>
    <row r="121" spans="1:28" s="2" customFormat="1" x14ac:dyDescent="0.3">
      <c r="A121" s="3"/>
      <c r="V121" s="112"/>
      <c r="W121" s="113"/>
      <c r="X121" s="113"/>
      <c r="Y121" s="113"/>
      <c r="Z121" s="113"/>
      <c r="AA121" s="113"/>
      <c r="AB121" s="114"/>
    </row>
    <row r="122" spans="1:28" s="2" customFormat="1" x14ac:dyDescent="0.3">
      <c r="A122" s="3"/>
      <c r="V122" s="112"/>
      <c r="W122" s="113"/>
      <c r="X122" s="113"/>
      <c r="Y122" s="113"/>
      <c r="Z122" s="113"/>
      <c r="AA122" s="113"/>
      <c r="AB122" s="114"/>
    </row>
    <row r="123" spans="1:28" s="2" customFormat="1" x14ac:dyDescent="0.3">
      <c r="A123" s="3"/>
      <c r="V123" s="112"/>
      <c r="W123" s="113"/>
      <c r="X123" s="113"/>
      <c r="Y123" s="113"/>
      <c r="Z123" s="113"/>
      <c r="AA123" s="113"/>
      <c r="AB123" s="114"/>
    </row>
    <row r="124" spans="1:28" s="2" customFormat="1" x14ac:dyDescent="0.3">
      <c r="A124" s="3"/>
      <c r="V124" s="112"/>
      <c r="W124" s="113"/>
      <c r="X124" s="113"/>
      <c r="Y124" s="113"/>
      <c r="Z124" s="113"/>
      <c r="AA124" s="113"/>
      <c r="AB124" s="114"/>
    </row>
    <row r="125" spans="1:28" s="2" customFormat="1" x14ac:dyDescent="0.3">
      <c r="A125" s="3"/>
      <c r="V125" s="112"/>
      <c r="W125" s="113"/>
      <c r="X125" s="113"/>
      <c r="Y125" s="113"/>
      <c r="Z125" s="113"/>
      <c r="AA125" s="113"/>
      <c r="AB125" s="114"/>
    </row>
    <row r="126" spans="1:28" s="2" customFormat="1" x14ac:dyDescent="0.3">
      <c r="A126" s="3"/>
      <c r="V126" s="112"/>
      <c r="W126" s="113"/>
      <c r="X126" s="113"/>
      <c r="Y126" s="113"/>
      <c r="Z126" s="113"/>
      <c r="AA126" s="113"/>
      <c r="AB126" s="114"/>
    </row>
    <row r="127" spans="1:28" s="2" customFormat="1" x14ac:dyDescent="0.3">
      <c r="A127" s="3"/>
      <c r="V127" s="112"/>
      <c r="W127" s="113"/>
      <c r="X127" s="113"/>
      <c r="Y127" s="113"/>
      <c r="Z127" s="113"/>
      <c r="AA127" s="113"/>
      <c r="AB127" s="114"/>
    </row>
    <row r="128" spans="1:28" s="2" customFormat="1" x14ac:dyDescent="0.3">
      <c r="A128" s="3"/>
      <c r="V128" s="112"/>
      <c r="W128" s="113"/>
      <c r="X128" s="113"/>
      <c r="Y128" s="113"/>
      <c r="Z128" s="113"/>
      <c r="AA128" s="113"/>
      <c r="AB128" s="114"/>
    </row>
    <row r="129" spans="1:28" s="2" customFormat="1" x14ac:dyDescent="0.3">
      <c r="A129" s="3"/>
      <c r="V129" s="112"/>
      <c r="W129" s="113"/>
      <c r="X129" s="113"/>
      <c r="Y129" s="113"/>
      <c r="Z129" s="113"/>
      <c r="AA129" s="113"/>
      <c r="AB129" s="114"/>
    </row>
    <row r="130" spans="1:28" s="2" customFormat="1" x14ac:dyDescent="0.3">
      <c r="A130" s="3"/>
      <c r="V130" s="112"/>
      <c r="W130" s="113"/>
      <c r="X130" s="113"/>
      <c r="Y130" s="113"/>
      <c r="Z130" s="113"/>
      <c r="AA130" s="113"/>
      <c r="AB130" s="114"/>
    </row>
    <row r="131" spans="1:28" s="2" customFormat="1" x14ac:dyDescent="0.3">
      <c r="A131" s="3"/>
      <c r="V131" s="112"/>
      <c r="W131" s="113"/>
      <c r="X131" s="113"/>
      <c r="Y131" s="113"/>
      <c r="Z131" s="113"/>
      <c r="AA131" s="113"/>
      <c r="AB131" s="114"/>
    </row>
    <row r="132" spans="1:28" s="2" customFormat="1" x14ac:dyDescent="0.3">
      <c r="A132" s="3"/>
      <c r="V132" s="112"/>
      <c r="W132" s="113"/>
      <c r="X132" s="113"/>
      <c r="Y132" s="113"/>
      <c r="Z132" s="113"/>
      <c r="AA132" s="113"/>
      <c r="AB132" s="114"/>
    </row>
    <row r="133" spans="1:28" s="2" customFormat="1" x14ac:dyDescent="0.3">
      <c r="A133" s="3"/>
      <c r="V133" s="112"/>
      <c r="W133" s="113"/>
      <c r="X133" s="113"/>
      <c r="Y133" s="113"/>
      <c r="Z133" s="113"/>
      <c r="AA133" s="113"/>
      <c r="AB133" s="114"/>
    </row>
    <row r="134" spans="1:28" s="2" customFormat="1" x14ac:dyDescent="0.3">
      <c r="A134" s="3"/>
      <c r="V134" s="112"/>
      <c r="W134" s="113"/>
      <c r="X134" s="113"/>
      <c r="Y134" s="113"/>
      <c r="Z134" s="113"/>
      <c r="AA134" s="113"/>
      <c r="AB134" s="114"/>
    </row>
    <row r="135" spans="1:28" s="2" customFormat="1" x14ac:dyDescent="0.3">
      <c r="A135" s="3"/>
      <c r="V135" s="112"/>
      <c r="W135" s="113"/>
      <c r="X135" s="113"/>
      <c r="Y135" s="113"/>
      <c r="Z135" s="113"/>
      <c r="AA135" s="113"/>
      <c r="AB135" s="114"/>
    </row>
    <row r="136" spans="1:28" s="2" customFormat="1" x14ac:dyDescent="0.3">
      <c r="A136" s="3"/>
      <c r="V136" s="112"/>
      <c r="W136" s="113"/>
      <c r="X136" s="113"/>
      <c r="Y136" s="113"/>
      <c r="Z136" s="113"/>
      <c r="AA136" s="113"/>
      <c r="AB136" s="114"/>
    </row>
    <row r="137" spans="1:28" s="2" customFormat="1" x14ac:dyDescent="0.3">
      <c r="A137" s="3"/>
      <c r="V137" s="112"/>
      <c r="W137" s="113"/>
      <c r="X137" s="113"/>
      <c r="Y137" s="113"/>
      <c r="Z137" s="113"/>
      <c r="AA137" s="113"/>
      <c r="AB137" s="114"/>
    </row>
    <row r="138" spans="1:28" s="2" customFormat="1" x14ac:dyDescent="0.3">
      <c r="A138" s="3"/>
      <c r="V138" s="112"/>
      <c r="W138" s="113"/>
      <c r="X138" s="113"/>
      <c r="Y138" s="113"/>
      <c r="Z138" s="113"/>
      <c r="AA138" s="113"/>
      <c r="AB138" s="114"/>
    </row>
    <row r="139" spans="1:28" s="2" customFormat="1" x14ac:dyDescent="0.3">
      <c r="A139" s="3"/>
      <c r="V139" s="112"/>
      <c r="W139" s="113"/>
      <c r="X139" s="113"/>
      <c r="Y139" s="113"/>
      <c r="Z139" s="113"/>
      <c r="AA139" s="113"/>
      <c r="AB139" s="114"/>
    </row>
    <row r="140" spans="1:28" s="2" customFormat="1" x14ac:dyDescent="0.3">
      <c r="A140" s="3"/>
      <c r="V140" s="112"/>
      <c r="W140" s="113"/>
      <c r="X140" s="113"/>
      <c r="Y140" s="113"/>
      <c r="Z140" s="113"/>
      <c r="AA140" s="113"/>
      <c r="AB140" s="114"/>
    </row>
    <row r="141" spans="1:28" s="2" customFormat="1" x14ac:dyDescent="0.3">
      <c r="A141" s="3"/>
      <c r="V141" s="112"/>
      <c r="W141" s="113"/>
      <c r="X141" s="113"/>
      <c r="Y141" s="113"/>
      <c r="Z141" s="113"/>
      <c r="AA141" s="113"/>
      <c r="AB141" s="114"/>
    </row>
    <row r="142" spans="1:28" s="2" customFormat="1" x14ac:dyDescent="0.3">
      <c r="A142" s="3"/>
      <c r="V142" s="112"/>
      <c r="W142" s="113"/>
      <c r="X142" s="113"/>
      <c r="Y142" s="113"/>
      <c r="Z142" s="113"/>
      <c r="AA142" s="113"/>
      <c r="AB142" s="114"/>
    </row>
    <row r="143" spans="1:28" s="2" customFormat="1" x14ac:dyDescent="0.3">
      <c r="A143" s="3"/>
      <c r="V143" s="112"/>
      <c r="W143" s="113"/>
      <c r="X143" s="113"/>
      <c r="Y143" s="113"/>
      <c r="Z143" s="113"/>
      <c r="AA143" s="113"/>
      <c r="AB143" s="114"/>
    </row>
    <row r="144" spans="1:28" s="2" customFormat="1" x14ac:dyDescent="0.3">
      <c r="A144" s="3"/>
      <c r="V144" s="112"/>
      <c r="W144" s="113"/>
      <c r="X144" s="113"/>
      <c r="Y144" s="113"/>
      <c r="Z144" s="113"/>
      <c r="AA144" s="113"/>
      <c r="AB144" s="114"/>
    </row>
    <row r="145" spans="1:28" s="2" customFormat="1" x14ac:dyDescent="0.3">
      <c r="A145" s="3"/>
      <c r="V145" s="112"/>
      <c r="W145" s="113"/>
      <c r="X145" s="113"/>
      <c r="Y145" s="113"/>
      <c r="Z145" s="113"/>
      <c r="AA145" s="113"/>
      <c r="AB145" s="114"/>
    </row>
    <row r="146" spans="1:28" s="2" customFormat="1" x14ac:dyDescent="0.3">
      <c r="A146" s="3"/>
      <c r="V146" s="112"/>
      <c r="W146" s="113"/>
      <c r="X146" s="113"/>
      <c r="Y146" s="113"/>
      <c r="Z146" s="113"/>
      <c r="AA146" s="113"/>
      <c r="AB146" s="114"/>
    </row>
    <row r="147" spans="1:28" s="2" customFormat="1" x14ac:dyDescent="0.3">
      <c r="A147" s="3"/>
      <c r="V147" s="112"/>
      <c r="W147" s="113"/>
      <c r="X147" s="113"/>
      <c r="Y147" s="113"/>
      <c r="Z147" s="113"/>
      <c r="AA147" s="113"/>
      <c r="AB147" s="114"/>
    </row>
    <row r="148" spans="1:28" s="2" customFormat="1" x14ac:dyDescent="0.3">
      <c r="A148" s="3"/>
      <c r="V148" s="112"/>
      <c r="W148" s="113"/>
      <c r="X148" s="113"/>
      <c r="Y148" s="113"/>
      <c r="Z148" s="113"/>
      <c r="AA148" s="113"/>
      <c r="AB148" s="114"/>
    </row>
    <row r="149" spans="1:28" s="2" customFormat="1" x14ac:dyDescent="0.3">
      <c r="A149" s="3"/>
      <c r="V149" s="112"/>
      <c r="W149" s="113"/>
      <c r="X149" s="113"/>
      <c r="Y149" s="113"/>
      <c r="Z149" s="113"/>
      <c r="AA149" s="113"/>
      <c r="AB149" s="114"/>
    </row>
    <row r="150" spans="1:28" s="2" customFormat="1" x14ac:dyDescent="0.3">
      <c r="A150" s="3"/>
      <c r="V150" s="112"/>
      <c r="W150" s="113"/>
      <c r="X150" s="113"/>
      <c r="Y150" s="113"/>
      <c r="Z150" s="113"/>
      <c r="AA150" s="113"/>
      <c r="AB150" s="114"/>
    </row>
    <row r="151" spans="1:28" s="2" customFormat="1" x14ac:dyDescent="0.3">
      <c r="A151" s="3"/>
      <c r="V151" s="112"/>
      <c r="W151" s="113"/>
      <c r="X151" s="113"/>
      <c r="Y151" s="113"/>
      <c r="Z151" s="113"/>
      <c r="AA151" s="113"/>
      <c r="AB151" s="114"/>
    </row>
    <row r="152" spans="1:28" s="2" customFormat="1" x14ac:dyDescent="0.3">
      <c r="A152" s="3"/>
      <c r="V152" s="112"/>
      <c r="W152" s="113"/>
      <c r="X152" s="113"/>
      <c r="Y152" s="113"/>
      <c r="Z152" s="113"/>
      <c r="AA152" s="113"/>
      <c r="AB152" s="114"/>
    </row>
    <row r="153" spans="1:28" s="2" customFormat="1" x14ac:dyDescent="0.3">
      <c r="A153" s="3"/>
      <c r="V153" s="112"/>
      <c r="W153" s="113"/>
      <c r="X153" s="113"/>
      <c r="Y153" s="113"/>
      <c r="Z153" s="113"/>
      <c r="AA153" s="113"/>
      <c r="AB153" s="114"/>
    </row>
    <row r="154" spans="1:28" s="2" customFormat="1" x14ac:dyDescent="0.3">
      <c r="A154" s="3"/>
      <c r="V154" s="112"/>
      <c r="W154" s="113"/>
      <c r="X154" s="113"/>
      <c r="Y154" s="113"/>
      <c r="Z154" s="113"/>
      <c r="AA154" s="113"/>
      <c r="AB154" s="114"/>
    </row>
    <row r="155" spans="1:28" s="2" customFormat="1" x14ac:dyDescent="0.3">
      <c r="A155" s="3"/>
      <c r="V155" s="112"/>
      <c r="W155" s="113"/>
      <c r="X155" s="113"/>
      <c r="Y155" s="113"/>
      <c r="Z155" s="113"/>
      <c r="AA155" s="113"/>
      <c r="AB155" s="114"/>
    </row>
    <row r="156" spans="1:28" s="2" customFormat="1" x14ac:dyDescent="0.3">
      <c r="A156" s="3"/>
      <c r="V156" s="112"/>
      <c r="W156" s="113"/>
      <c r="X156" s="113"/>
      <c r="Y156" s="113"/>
      <c r="Z156" s="113"/>
      <c r="AA156" s="113"/>
      <c r="AB156" s="114"/>
    </row>
    <row r="157" spans="1:28" s="2" customFormat="1" x14ac:dyDescent="0.3">
      <c r="A157" s="3"/>
      <c r="V157" s="112"/>
      <c r="W157" s="113"/>
      <c r="X157" s="113"/>
      <c r="Y157" s="113"/>
      <c r="Z157" s="113"/>
      <c r="AA157" s="113"/>
      <c r="AB157" s="114"/>
    </row>
    <row r="158" spans="1:28" s="2" customFormat="1" x14ac:dyDescent="0.3">
      <c r="A158" s="3"/>
      <c r="V158" s="112"/>
      <c r="W158" s="113"/>
      <c r="X158" s="113"/>
      <c r="Y158" s="113"/>
      <c r="Z158" s="113"/>
      <c r="AA158" s="113"/>
      <c r="AB158" s="114"/>
    </row>
    <row r="159" spans="1:28" s="2" customFormat="1" x14ac:dyDescent="0.3">
      <c r="A159" s="3"/>
      <c r="V159" s="112"/>
      <c r="W159" s="113"/>
      <c r="X159" s="113"/>
      <c r="Y159" s="113"/>
      <c r="Z159" s="113"/>
      <c r="AA159" s="113"/>
      <c r="AB159" s="114"/>
    </row>
    <row r="160" spans="1:28" s="2" customFormat="1" x14ac:dyDescent="0.3">
      <c r="A160" s="3"/>
      <c r="V160" s="112"/>
      <c r="W160" s="113"/>
      <c r="X160" s="113"/>
      <c r="Y160" s="113"/>
      <c r="Z160" s="113"/>
      <c r="AA160" s="113"/>
      <c r="AB160" s="114"/>
    </row>
    <row r="161" spans="1:28" s="2" customFormat="1" x14ac:dyDescent="0.3">
      <c r="A161" s="3"/>
      <c r="V161" s="143"/>
      <c r="W161" s="144"/>
      <c r="X161" s="144"/>
      <c r="Y161" s="144"/>
      <c r="Z161" s="144"/>
      <c r="AA161" s="144"/>
      <c r="AB161" s="145"/>
    </row>
    <row r="162" spans="1:28" s="2" customFormat="1" x14ac:dyDescent="0.3">
      <c r="A162" s="3"/>
      <c r="V162" s="2" t="s">
        <v>47</v>
      </c>
    </row>
    <row r="163" spans="1:28" s="2" customFormat="1" x14ac:dyDescent="0.3">
      <c r="A163" s="3"/>
      <c r="V163" s="2" t="s">
        <v>48</v>
      </c>
    </row>
    <row r="164" spans="1:28" s="2" customFormat="1" x14ac:dyDescent="0.3">
      <c r="A164" s="3"/>
      <c r="V164" s="2" t="s">
        <v>49</v>
      </c>
    </row>
    <row r="165" spans="1:28" s="2" customFormat="1" x14ac:dyDescent="0.3">
      <c r="A165" s="3"/>
      <c r="V165" s="2" t="s">
        <v>50</v>
      </c>
    </row>
    <row r="166" spans="1:28" s="2" customFormat="1" x14ac:dyDescent="0.3">
      <c r="A166" s="3"/>
      <c r="V166" s="2" t="s">
        <v>51</v>
      </c>
    </row>
    <row r="167" spans="1:28" s="2" customFormat="1" x14ac:dyDescent="0.3">
      <c r="A167" s="3"/>
      <c r="V167" s="2" t="s">
        <v>52</v>
      </c>
    </row>
    <row r="168" spans="1:28" s="2" customFormat="1" x14ac:dyDescent="0.3">
      <c r="A168" s="3"/>
      <c r="V168" s="2" t="s">
        <v>53</v>
      </c>
    </row>
    <row r="169" spans="1:28" s="2" customFormat="1" x14ac:dyDescent="0.3">
      <c r="A169" s="3"/>
      <c r="V169" s="2" t="s">
        <v>54</v>
      </c>
    </row>
    <row r="170" spans="1:28" s="2" customFormat="1" x14ac:dyDescent="0.3">
      <c r="A170" s="3"/>
      <c r="V170" s="2" t="s">
        <v>55</v>
      </c>
    </row>
    <row r="171" spans="1:28" s="2" customFormat="1" x14ac:dyDescent="0.3">
      <c r="A171" s="3"/>
      <c r="V171" s="2" t="s">
        <v>56</v>
      </c>
    </row>
    <row r="172" spans="1:28" s="2" customFormat="1" x14ac:dyDescent="0.3">
      <c r="A172" s="3"/>
      <c r="V172" s="2" t="s">
        <v>57</v>
      </c>
    </row>
    <row r="173" spans="1:28" s="2" customFormat="1" x14ac:dyDescent="0.3">
      <c r="A173" s="3"/>
      <c r="V173" s="2" t="s">
        <v>58</v>
      </c>
    </row>
    <row r="174" spans="1:28" s="2" customFormat="1" x14ac:dyDescent="0.3">
      <c r="A174" s="3"/>
      <c r="V174" s="2" t="s">
        <v>59</v>
      </c>
    </row>
    <row r="175" spans="1:28" s="2" customFormat="1" x14ac:dyDescent="0.3">
      <c r="A175" s="3"/>
      <c r="V175" s="2" t="s">
        <v>60</v>
      </c>
    </row>
    <row r="176" spans="1:28" s="2" customFormat="1" x14ac:dyDescent="0.3">
      <c r="A176" s="3"/>
      <c r="V176" s="2" t="s">
        <v>61</v>
      </c>
    </row>
    <row r="177" spans="1:22" s="2" customFormat="1" x14ac:dyDescent="0.3">
      <c r="A177" s="3"/>
      <c r="V177" s="2" t="s">
        <v>62</v>
      </c>
    </row>
    <row r="178" spans="1:22" s="2" customFormat="1" x14ac:dyDescent="0.3">
      <c r="A178" s="3"/>
      <c r="V178" s="2" t="s">
        <v>63</v>
      </c>
    </row>
    <row r="179" spans="1:22" s="2" customFormat="1" x14ac:dyDescent="0.3">
      <c r="A179" s="3"/>
      <c r="V179" s="2" t="s">
        <v>64</v>
      </c>
    </row>
    <row r="180" spans="1:22" s="2" customFormat="1" x14ac:dyDescent="0.3">
      <c r="A180" s="3"/>
      <c r="V180" s="2" t="s">
        <v>47</v>
      </c>
    </row>
    <row r="181" spans="1:22" s="2" customFormat="1" x14ac:dyDescent="0.3">
      <c r="A181" s="3"/>
      <c r="V181" s="2" t="s">
        <v>65</v>
      </c>
    </row>
    <row r="182" spans="1:22" s="2" customFormat="1" x14ac:dyDescent="0.3">
      <c r="A182" s="3"/>
      <c r="V182" s="2" t="s">
        <v>66</v>
      </c>
    </row>
    <row r="183" spans="1:22" s="2" customFormat="1" x14ac:dyDescent="0.3">
      <c r="A183" s="3"/>
      <c r="V183" s="2" t="s">
        <v>67</v>
      </c>
    </row>
    <row r="184" spans="1:22" s="2" customFormat="1" x14ac:dyDescent="0.3">
      <c r="A184" s="3"/>
      <c r="V184" s="2" t="s">
        <v>68</v>
      </c>
    </row>
    <row r="185" spans="1:22" s="2" customFormat="1" x14ac:dyDescent="0.3">
      <c r="A185" s="3"/>
      <c r="V185" s="2" t="s">
        <v>69</v>
      </c>
    </row>
    <row r="186" spans="1:22" s="2" customFormat="1" x14ac:dyDescent="0.3">
      <c r="A186" s="3"/>
      <c r="V186" s="2" t="s">
        <v>70</v>
      </c>
    </row>
    <row r="187" spans="1:22" s="2" customFormat="1" x14ac:dyDescent="0.3">
      <c r="A187" s="3"/>
      <c r="V187" s="2" t="s">
        <v>71</v>
      </c>
    </row>
    <row r="188" spans="1:22" s="2" customFormat="1" x14ac:dyDescent="0.3">
      <c r="A188" s="3"/>
      <c r="V188" s="2" t="s">
        <v>55</v>
      </c>
    </row>
    <row r="189" spans="1:22" s="2" customFormat="1" x14ac:dyDescent="0.3">
      <c r="A189" s="3"/>
      <c r="V189" s="2" t="s">
        <v>72</v>
      </c>
    </row>
    <row r="190" spans="1:22" s="2" customFormat="1" x14ac:dyDescent="0.3">
      <c r="A190" s="3"/>
      <c r="V190" s="2" t="s">
        <v>73</v>
      </c>
    </row>
    <row r="191" spans="1:22" s="2" customFormat="1" x14ac:dyDescent="0.3">
      <c r="A191" s="3"/>
      <c r="V191" s="2" t="s">
        <v>74</v>
      </c>
    </row>
    <row r="192" spans="1:22" s="2" customFormat="1" x14ac:dyDescent="0.3">
      <c r="A192" s="3"/>
      <c r="V192" s="2" t="s">
        <v>62</v>
      </c>
    </row>
    <row r="193" spans="1:22" s="2" customFormat="1" x14ac:dyDescent="0.3">
      <c r="A193" s="3"/>
      <c r="V193" s="2" t="s">
        <v>63</v>
      </c>
    </row>
    <row r="194" spans="1:22" s="2" customFormat="1" x14ac:dyDescent="0.3">
      <c r="A194" s="3"/>
      <c r="V194" s="2" t="s">
        <v>70</v>
      </c>
    </row>
    <row r="195" spans="1:22" s="2" customFormat="1" x14ac:dyDescent="0.3">
      <c r="A195" s="3"/>
      <c r="V195" s="2" t="s">
        <v>75</v>
      </c>
    </row>
    <row r="196" spans="1:22" s="2" customFormat="1" x14ac:dyDescent="0.3">
      <c r="A196" s="3"/>
      <c r="V196" s="2" t="s">
        <v>63</v>
      </c>
    </row>
    <row r="197" spans="1:22" s="2" customFormat="1" x14ac:dyDescent="0.3">
      <c r="A197" s="3"/>
      <c r="V197" s="2" t="s">
        <v>76</v>
      </c>
    </row>
    <row r="198" spans="1:22" s="2" customFormat="1" x14ac:dyDescent="0.3">
      <c r="A198" s="3"/>
      <c r="V198" s="2" t="s">
        <v>47</v>
      </c>
    </row>
    <row r="199" spans="1:22" s="2" customFormat="1" x14ac:dyDescent="0.3">
      <c r="A199" s="3"/>
      <c r="V199" s="2" t="s">
        <v>77</v>
      </c>
    </row>
    <row r="200" spans="1:22" s="2" customFormat="1" x14ac:dyDescent="0.3">
      <c r="A200" s="3"/>
      <c r="V200" s="2" t="s">
        <v>78</v>
      </c>
    </row>
    <row r="201" spans="1:22" s="2" customFormat="1" x14ac:dyDescent="0.3">
      <c r="A201" s="3"/>
      <c r="V201" s="2" t="s">
        <v>79</v>
      </c>
    </row>
    <row r="202" spans="1:22" s="2" customFormat="1" x14ac:dyDescent="0.3">
      <c r="A202" s="3"/>
      <c r="V202" s="2" t="s">
        <v>80</v>
      </c>
    </row>
    <row r="203" spans="1:22" s="2" customFormat="1" x14ac:dyDescent="0.3">
      <c r="A203" s="3"/>
      <c r="V203" s="2" t="s">
        <v>81</v>
      </c>
    </row>
    <row r="204" spans="1:22" s="2" customFormat="1" x14ac:dyDescent="0.3">
      <c r="A204" s="3"/>
      <c r="V204" s="2" t="s">
        <v>82</v>
      </c>
    </row>
    <row r="205" spans="1:22" s="2" customFormat="1" x14ac:dyDescent="0.3">
      <c r="A205" s="3"/>
    </row>
    <row r="206" spans="1:22" s="2" customFormat="1" x14ac:dyDescent="0.3">
      <c r="A206" s="3"/>
      <c r="V206" s="2" t="s">
        <v>83</v>
      </c>
    </row>
    <row r="207" spans="1:22" s="2" customFormat="1" x14ac:dyDescent="0.3">
      <c r="A207" s="3"/>
      <c r="V207" s="2" t="s">
        <v>84</v>
      </c>
    </row>
    <row r="208" spans="1:22" s="2" customFormat="1" x14ac:dyDescent="0.3">
      <c r="A208" s="3"/>
      <c r="V208" s="2" t="s">
        <v>85</v>
      </c>
    </row>
    <row r="209" spans="1:22" s="2" customFormat="1" x14ac:dyDescent="0.3">
      <c r="A209" s="3"/>
      <c r="V209" s="2" t="s">
        <v>58</v>
      </c>
    </row>
    <row r="210" spans="1:22" s="2" customFormat="1" x14ac:dyDescent="0.3">
      <c r="A210" s="3"/>
      <c r="V210" s="2" t="s">
        <v>86</v>
      </c>
    </row>
    <row r="211" spans="1:22" s="2" customFormat="1" x14ac:dyDescent="0.3">
      <c r="A211" s="3"/>
      <c r="V211" s="2" t="s">
        <v>81</v>
      </c>
    </row>
    <row r="212" spans="1:22" s="2" customFormat="1" x14ac:dyDescent="0.3">
      <c r="A212" s="3"/>
      <c r="V212" s="2" t="s">
        <v>82</v>
      </c>
    </row>
    <row r="213" spans="1:22" s="2" customFormat="1" x14ac:dyDescent="0.3">
      <c r="A213" s="3"/>
      <c r="V213" s="2" t="s">
        <v>87</v>
      </c>
    </row>
    <row r="214" spans="1:22" s="2" customFormat="1" x14ac:dyDescent="0.3">
      <c r="A214" s="3"/>
      <c r="V214" s="2" t="s">
        <v>63</v>
      </c>
    </row>
    <row r="215" spans="1:22" s="2" customFormat="1" x14ac:dyDescent="0.3">
      <c r="A215" s="3"/>
    </row>
    <row r="216" spans="1:22" s="2" customFormat="1" x14ac:dyDescent="0.3">
      <c r="A216" s="3"/>
      <c r="V216" s="2" t="s">
        <v>47</v>
      </c>
    </row>
    <row r="217" spans="1:22" s="2" customFormat="1" x14ac:dyDescent="0.3">
      <c r="A217" s="3"/>
      <c r="V217" s="2" t="s">
        <v>88</v>
      </c>
    </row>
    <row r="218" spans="1:22" s="2" customFormat="1" x14ac:dyDescent="0.3">
      <c r="A218" s="3"/>
    </row>
    <row r="219" spans="1:22" s="2" customFormat="1" x14ac:dyDescent="0.3">
      <c r="A219" s="3"/>
    </row>
    <row r="220" spans="1:22" s="2" customFormat="1" x14ac:dyDescent="0.3">
      <c r="A220" s="3"/>
    </row>
    <row r="221" spans="1:22" s="2" customFormat="1" x14ac:dyDescent="0.3">
      <c r="A221" s="3"/>
    </row>
    <row r="222" spans="1:22" s="2" customFormat="1" x14ac:dyDescent="0.3">
      <c r="A222" s="3"/>
    </row>
    <row r="223" spans="1:22" s="2" customFormat="1" x14ac:dyDescent="0.3">
      <c r="A223" s="3"/>
    </row>
    <row r="224" spans="1:22" s="2" customFormat="1" x14ac:dyDescent="0.3">
      <c r="A224" s="3"/>
    </row>
    <row r="225" spans="1:1" s="2" customFormat="1" x14ac:dyDescent="0.3">
      <c r="A225" s="3"/>
    </row>
    <row r="226" spans="1:1" s="2" customFormat="1" x14ac:dyDescent="0.3">
      <c r="A226" s="3"/>
    </row>
    <row r="227" spans="1:1" s="2" customFormat="1" x14ac:dyDescent="0.3">
      <c r="A227" s="3"/>
    </row>
    <row r="228" spans="1:1" s="2" customFormat="1" x14ac:dyDescent="0.3">
      <c r="A228" s="3"/>
    </row>
    <row r="229" spans="1:1" s="2" customFormat="1" x14ac:dyDescent="0.3">
      <c r="A229" s="3"/>
    </row>
    <row r="230" spans="1:1" s="2" customFormat="1" x14ac:dyDescent="0.3">
      <c r="A230" s="3"/>
    </row>
    <row r="231" spans="1:1" s="2" customFormat="1" x14ac:dyDescent="0.3">
      <c r="A231" s="3"/>
    </row>
    <row r="232" spans="1:1" s="2" customFormat="1" x14ac:dyDescent="0.3">
      <c r="A232" s="3"/>
    </row>
    <row r="233" spans="1:1" s="2" customFormat="1" x14ac:dyDescent="0.3">
      <c r="A233" s="3"/>
    </row>
    <row r="234" spans="1:1" s="2" customFormat="1" x14ac:dyDescent="0.3">
      <c r="A234" s="3"/>
    </row>
    <row r="235" spans="1:1" s="2" customFormat="1" x14ac:dyDescent="0.3">
      <c r="A235" s="3"/>
    </row>
    <row r="236" spans="1:1" s="2" customFormat="1" x14ac:dyDescent="0.3">
      <c r="A236" s="3"/>
    </row>
    <row r="237" spans="1:1" s="2" customFormat="1" x14ac:dyDescent="0.3">
      <c r="A237" s="3"/>
    </row>
    <row r="238" spans="1:1" s="2" customFormat="1" x14ac:dyDescent="0.3">
      <c r="A238" s="3"/>
    </row>
    <row r="239" spans="1:1" s="2" customFormat="1" x14ac:dyDescent="0.3">
      <c r="A239" s="3"/>
    </row>
    <row r="240" spans="1:1" s="2" customFormat="1" x14ac:dyDescent="0.3">
      <c r="A240" s="3"/>
    </row>
    <row r="241" spans="1:1" s="2" customFormat="1" x14ac:dyDescent="0.3">
      <c r="A241" s="3"/>
    </row>
    <row r="242" spans="1:1" s="2" customFormat="1" x14ac:dyDescent="0.3">
      <c r="A242" s="3"/>
    </row>
    <row r="243" spans="1:1" s="2" customFormat="1" x14ac:dyDescent="0.3">
      <c r="A243" s="3"/>
    </row>
    <row r="244" spans="1:1" s="2" customFormat="1" x14ac:dyDescent="0.3">
      <c r="A244" s="3"/>
    </row>
    <row r="245" spans="1:1" s="2" customFormat="1" x14ac:dyDescent="0.3">
      <c r="A245" s="3"/>
    </row>
    <row r="246" spans="1:1" s="2" customFormat="1" x14ac:dyDescent="0.3">
      <c r="A246" s="3"/>
    </row>
    <row r="247" spans="1:1" s="2" customFormat="1" x14ac:dyDescent="0.3">
      <c r="A247" s="3"/>
    </row>
    <row r="248" spans="1:1" s="2" customFormat="1" x14ac:dyDescent="0.3">
      <c r="A248" s="3"/>
    </row>
    <row r="249" spans="1:1" s="2" customFormat="1" x14ac:dyDescent="0.3">
      <c r="A249" s="3"/>
    </row>
    <row r="250" spans="1:1" s="2" customFormat="1" x14ac:dyDescent="0.3">
      <c r="A250" s="3"/>
    </row>
    <row r="251" spans="1:1" s="2" customFormat="1" x14ac:dyDescent="0.3">
      <c r="A251" s="3"/>
    </row>
    <row r="252" spans="1:1" s="2" customFormat="1" x14ac:dyDescent="0.3">
      <c r="A252" s="3"/>
    </row>
    <row r="253" spans="1:1" s="2" customFormat="1" x14ac:dyDescent="0.3">
      <c r="A253" s="3"/>
    </row>
    <row r="254" spans="1:1" s="2" customFormat="1" x14ac:dyDescent="0.3">
      <c r="A254" s="3"/>
    </row>
    <row r="255" spans="1:1" s="2" customFormat="1" x14ac:dyDescent="0.3">
      <c r="A255" s="3"/>
    </row>
    <row r="256" spans="1:1" s="2" customFormat="1" x14ac:dyDescent="0.3">
      <c r="A256" s="3"/>
    </row>
    <row r="257" spans="1:1" s="2" customFormat="1" x14ac:dyDescent="0.3">
      <c r="A257" s="3"/>
    </row>
    <row r="258" spans="1:1" s="2" customFormat="1" x14ac:dyDescent="0.3">
      <c r="A258" s="3"/>
    </row>
    <row r="259" spans="1:1" s="2" customFormat="1" x14ac:dyDescent="0.3">
      <c r="A259" s="3"/>
    </row>
    <row r="260" spans="1:1" s="2" customFormat="1" x14ac:dyDescent="0.3">
      <c r="A260" s="3"/>
    </row>
    <row r="261" spans="1:1" s="2" customFormat="1" x14ac:dyDescent="0.3">
      <c r="A261" s="3"/>
    </row>
    <row r="262" spans="1:1" s="2" customFormat="1" x14ac:dyDescent="0.3">
      <c r="A262" s="3"/>
    </row>
    <row r="263" spans="1:1" s="2" customFormat="1" x14ac:dyDescent="0.3">
      <c r="A263" s="3"/>
    </row>
    <row r="264" spans="1:1" s="2" customFormat="1" x14ac:dyDescent="0.3">
      <c r="A264" s="3"/>
    </row>
    <row r="265" spans="1:1" s="2" customFormat="1" x14ac:dyDescent="0.3">
      <c r="A265" s="3"/>
    </row>
    <row r="266" spans="1:1" s="2" customFormat="1" x14ac:dyDescent="0.3">
      <c r="A266" s="3"/>
    </row>
    <row r="267" spans="1:1" s="2" customFormat="1" x14ac:dyDescent="0.3">
      <c r="A267" s="3"/>
    </row>
    <row r="268" spans="1:1" s="2" customFormat="1" x14ac:dyDescent="0.3">
      <c r="A268" s="3"/>
    </row>
    <row r="269" spans="1:1" s="2" customFormat="1" x14ac:dyDescent="0.3">
      <c r="A269" s="3"/>
    </row>
    <row r="270" spans="1:1" s="2" customFormat="1" x14ac:dyDescent="0.3">
      <c r="A270" s="3"/>
    </row>
    <row r="271" spans="1:1" s="2" customFormat="1" x14ac:dyDescent="0.3">
      <c r="A271" s="3"/>
    </row>
    <row r="272" spans="1:1" s="2" customFormat="1" x14ac:dyDescent="0.3">
      <c r="A272" s="3"/>
    </row>
    <row r="273" spans="1:1" s="2" customFormat="1" x14ac:dyDescent="0.3">
      <c r="A273" s="3"/>
    </row>
    <row r="274" spans="1:1" s="2" customFormat="1" x14ac:dyDescent="0.3">
      <c r="A274" s="3"/>
    </row>
    <row r="275" spans="1:1" s="2" customFormat="1" x14ac:dyDescent="0.3">
      <c r="A275" s="3"/>
    </row>
    <row r="276" spans="1:1" s="2" customFormat="1" x14ac:dyDescent="0.3">
      <c r="A276" s="3"/>
    </row>
    <row r="277" spans="1:1" s="2" customFormat="1" x14ac:dyDescent="0.3">
      <c r="A277" s="3"/>
    </row>
    <row r="278" spans="1:1" s="2" customFormat="1" x14ac:dyDescent="0.3">
      <c r="A278" s="3"/>
    </row>
    <row r="279" spans="1:1" s="2" customFormat="1" x14ac:dyDescent="0.3">
      <c r="A279" s="3"/>
    </row>
    <row r="280" spans="1:1" s="2" customFormat="1" x14ac:dyDescent="0.3">
      <c r="A280" s="3"/>
    </row>
    <row r="281" spans="1:1" s="2" customFormat="1" x14ac:dyDescent="0.3">
      <c r="A281" s="3"/>
    </row>
    <row r="282" spans="1:1" s="2" customFormat="1" x14ac:dyDescent="0.3">
      <c r="A282" s="3"/>
    </row>
    <row r="283" spans="1:1" s="2" customFormat="1" x14ac:dyDescent="0.3">
      <c r="A283" s="3"/>
    </row>
    <row r="284" spans="1:1" s="2" customFormat="1" x14ac:dyDescent="0.3">
      <c r="A284" s="3"/>
    </row>
    <row r="285" spans="1:1" s="2" customFormat="1" x14ac:dyDescent="0.3">
      <c r="A285" s="3"/>
    </row>
    <row r="286" spans="1:1" s="2" customFormat="1" x14ac:dyDescent="0.3">
      <c r="A286" s="3"/>
    </row>
    <row r="287" spans="1:1" s="2" customFormat="1" x14ac:dyDescent="0.3">
      <c r="A287" s="3"/>
    </row>
    <row r="288" spans="1:1" s="2" customFormat="1" x14ac:dyDescent="0.3">
      <c r="A288" s="3"/>
    </row>
    <row r="289" spans="1:1" s="2" customFormat="1" x14ac:dyDescent="0.3">
      <c r="A289" s="3"/>
    </row>
    <row r="290" spans="1:1" s="2" customFormat="1" x14ac:dyDescent="0.3">
      <c r="A290" s="3"/>
    </row>
    <row r="291" spans="1:1" s="2" customFormat="1" x14ac:dyDescent="0.3">
      <c r="A291" s="3"/>
    </row>
    <row r="292" spans="1:1" s="2" customFormat="1" x14ac:dyDescent="0.3">
      <c r="A292" s="3"/>
    </row>
    <row r="293" spans="1:1" s="2" customFormat="1" x14ac:dyDescent="0.3">
      <c r="A293" s="3"/>
    </row>
    <row r="294" spans="1:1" s="2" customFormat="1" x14ac:dyDescent="0.3">
      <c r="A294" s="3"/>
    </row>
    <row r="295" spans="1:1" s="2" customFormat="1" x14ac:dyDescent="0.3">
      <c r="A295" s="3"/>
    </row>
    <row r="296" spans="1:1" s="2" customFormat="1" x14ac:dyDescent="0.3">
      <c r="A296" s="3"/>
    </row>
    <row r="297" spans="1:1" s="2" customFormat="1" x14ac:dyDescent="0.3">
      <c r="A297" s="3"/>
    </row>
    <row r="298" spans="1:1" s="2" customFormat="1" x14ac:dyDescent="0.3">
      <c r="A298" s="3"/>
    </row>
    <row r="299" spans="1:1" s="2" customFormat="1" x14ac:dyDescent="0.3">
      <c r="A299" s="3"/>
    </row>
    <row r="300" spans="1:1" s="2" customFormat="1" x14ac:dyDescent="0.3">
      <c r="A300" s="3"/>
    </row>
    <row r="301" spans="1:1" s="2" customFormat="1" x14ac:dyDescent="0.3">
      <c r="A301" s="3"/>
    </row>
    <row r="302" spans="1:1" s="2" customFormat="1" x14ac:dyDescent="0.3">
      <c r="A302" s="3"/>
    </row>
    <row r="303" spans="1:1" s="2" customFormat="1" x14ac:dyDescent="0.3">
      <c r="A303" s="3"/>
    </row>
    <row r="304" spans="1:1" s="2" customFormat="1" x14ac:dyDescent="0.3">
      <c r="A304" s="3"/>
    </row>
    <row r="305" spans="1:1" s="2" customFormat="1" x14ac:dyDescent="0.3">
      <c r="A305" s="3"/>
    </row>
    <row r="306" spans="1:1" s="2" customFormat="1" x14ac:dyDescent="0.3">
      <c r="A306" s="3"/>
    </row>
    <row r="307" spans="1:1" s="2" customFormat="1" x14ac:dyDescent="0.3">
      <c r="A307" s="3"/>
    </row>
    <row r="308" spans="1:1" s="2" customFormat="1" x14ac:dyDescent="0.3">
      <c r="A308" s="3"/>
    </row>
    <row r="309" spans="1:1" s="2" customFormat="1" x14ac:dyDescent="0.3">
      <c r="A309" s="3"/>
    </row>
    <row r="310" spans="1:1" s="2" customFormat="1" x14ac:dyDescent="0.3">
      <c r="A310" s="3"/>
    </row>
    <row r="311" spans="1:1" s="2" customFormat="1" x14ac:dyDescent="0.3">
      <c r="A311" s="3"/>
    </row>
    <row r="312" spans="1:1" s="2" customFormat="1" x14ac:dyDescent="0.3">
      <c r="A312" s="3"/>
    </row>
    <row r="313" spans="1:1" s="2" customFormat="1" x14ac:dyDescent="0.3">
      <c r="A313" s="3"/>
    </row>
    <row r="314" spans="1:1" s="2" customFormat="1" x14ac:dyDescent="0.3">
      <c r="A314" s="3"/>
    </row>
    <row r="315" spans="1:1" s="2" customFormat="1" x14ac:dyDescent="0.3">
      <c r="A315" s="3"/>
    </row>
    <row r="316" spans="1:1" s="2" customFormat="1" x14ac:dyDescent="0.3">
      <c r="A316" s="3"/>
    </row>
    <row r="317" spans="1:1" s="2" customFormat="1" x14ac:dyDescent="0.3">
      <c r="A317" s="3"/>
    </row>
    <row r="318" spans="1:1" s="2" customFormat="1" x14ac:dyDescent="0.3">
      <c r="A318" s="3"/>
    </row>
    <row r="319" spans="1:1" s="2" customFormat="1" x14ac:dyDescent="0.3">
      <c r="A319" s="3"/>
    </row>
    <row r="320" spans="1:1" s="2" customFormat="1" x14ac:dyDescent="0.3">
      <c r="A320" s="3"/>
    </row>
    <row r="321" spans="1:1" s="2" customFormat="1" x14ac:dyDescent="0.3">
      <c r="A321" s="3"/>
    </row>
    <row r="322" spans="1:1" s="2" customFormat="1" x14ac:dyDescent="0.3">
      <c r="A322" s="3"/>
    </row>
    <row r="323" spans="1:1" s="2" customFormat="1" x14ac:dyDescent="0.3">
      <c r="A323" s="3"/>
    </row>
  </sheetData>
  <dataConsolidate/>
  <mergeCells count="211">
    <mergeCell ref="V160:AB160"/>
    <mergeCell ref="V161:AB161"/>
    <mergeCell ref="V5:W5"/>
    <mergeCell ref="V6:W6"/>
    <mergeCell ref="V7:W7"/>
    <mergeCell ref="V8:W8"/>
    <mergeCell ref="V9:W9"/>
    <mergeCell ref="Y5:AA5"/>
    <mergeCell ref="Y6:AA6"/>
    <mergeCell ref="Y7:AA7"/>
    <mergeCell ref="Y8:AA8"/>
    <mergeCell ref="V155:AB155"/>
    <mergeCell ref="V156:AB156"/>
    <mergeCell ref="V157:AB157"/>
    <mergeCell ref="V158:AB158"/>
    <mergeCell ref="V159:AB159"/>
    <mergeCell ref="V150:AB150"/>
    <mergeCell ref="V151:AB151"/>
    <mergeCell ref="V152:AB152"/>
    <mergeCell ref="V153:AB153"/>
    <mergeCell ref="V154:AB154"/>
    <mergeCell ref="V145:AB145"/>
    <mergeCell ref="V146:AB146"/>
    <mergeCell ref="V147:AB147"/>
    <mergeCell ref="V148:AB148"/>
    <mergeCell ref="V149:AB149"/>
    <mergeCell ref="V140:AB140"/>
    <mergeCell ref="V141:AB141"/>
    <mergeCell ref="V142:AB142"/>
    <mergeCell ref="V143:AB143"/>
    <mergeCell ref="V144:AB144"/>
    <mergeCell ref="V135:AB135"/>
    <mergeCell ref="V136:AB136"/>
    <mergeCell ref="V137:AB137"/>
    <mergeCell ref="V138:AB138"/>
    <mergeCell ref="V139:AB139"/>
    <mergeCell ref="V130:AB130"/>
    <mergeCell ref="V131:AB131"/>
    <mergeCell ref="V132:AB132"/>
    <mergeCell ref="V133:AB133"/>
    <mergeCell ref="V134:AB134"/>
    <mergeCell ref="V125:AB125"/>
    <mergeCell ref="V126:AB126"/>
    <mergeCell ref="V127:AB127"/>
    <mergeCell ref="V128:AB128"/>
    <mergeCell ref="V129:AB129"/>
    <mergeCell ref="V120:AB120"/>
    <mergeCell ref="V121:AB121"/>
    <mergeCell ref="V122:AB122"/>
    <mergeCell ref="V123:AB123"/>
    <mergeCell ref="V124:AB124"/>
    <mergeCell ref="V115:AB115"/>
    <mergeCell ref="V116:AB116"/>
    <mergeCell ref="V117:AB117"/>
    <mergeCell ref="V118:AB118"/>
    <mergeCell ref="V119:AB119"/>
    <mergeCell ref="V110:AB110"/>
    <mergeCell ref="V111:AB111"/>
    <mergeCell ref="V112:AB112"/>
    <mergeCell ref="V113:AB113"/>
    <mergeCell ref="V114:AB114"/>
    <mergeCell ref="V105:AB105"/>
    <mergeCell ref="V106:AB106"/>
    <mergeCell ref="V107:AB107"/>
    <mergeCell ref="V108:AB108"/>
    <mergeCell ref="V109:AB109"/>
    <mergeCell ref="V100:AB100"/>
    <mergeCell ref="V101:AB101"/>
    <mergeCell ref="V102:AB102"/>
    <mergeCell ref="V103:AB103"/>
    <mergeCell ref="V104:AB104"/>
    <mergeCell ref="V95:AB95"/>
    <mergeCell ref="V96:AB96"/>
    <mergeCell ref="V97:AB97"/>
    <mergeCell ref="V98:AB98"/>
    <mergeCell ref="V99:AB99"/>
    <mergeCell ref="V90:AB90"/>
    <mergeCell ref="V91:AB91"/>
    <mergeCell ref="V92:AB92"/>
    <mergeCell ref="V93:AB93"/>
    <mergeCell ref="V94:AB94"/>
    <mergeCell ref="V85:AB85"/>
    <mergeCell ref="V86:AB86"/>
    <mergeCell ref="V87:AB87"/>
    <mergeCell ref="V88:AB88"/>
    <mergeCell ref="V89:AB89"/>
    <mergeCell ref="V80:AB80"/>
    <mergeCell ref="V81:AB81"/>
    <mergeCell ref="V82:AB82"/>
    <mergeCell ref="V83:AB83"/>
    <mergeCell ref="V84:AB84"/>
    <mergeCell ref="V75:AB75"/>
    <mergeCell ref="V76:AB76"/>
    <mergeCell ref="V77:AB77"/>
    <mergeCell ref="V78:AB78"/>
    <mergeCell ref="V79:AB79"/>
    <mergeCell ref="V70:AB70"/>
    <mergeCell ref="V71:AB71"/>
    <mergeCell ref="V72:AB72"/>
    <mergeCell ref="V73:AB73"/>
    <mergeCell ref="V74:AB74"/>
    <mergeCell ref="V65:AB65"/>
    <mergeCell ref="V66:AB66"/>
    <mergeCell ref="V67:AB67"/>
    <mergeCell ref="V68:AB68"/>
    <mergeCell ref="V69:AB69"/>
    <mergeCell ref="V60:AB60"/>
    <mergeCell ref="V61:AB61"/>
    <mergeCell ref="V62:AB62"/>
    <mergeCell ref="V63:AB63"/>
    <mergeCell ref="V64:AB64"/>
    <mergeCell ref="V55:AB55"/>
    <mergeCell ref="V56:AB56"/>
    <mergeCell ref="V57:AB57"/>
    <mergeCell ref="V58:AB58"/>
    <mergeCell ref="V59:AB59"/>
    <mergeCell ref="V50:AB50"/>
    <mergeCell ref="V51:AB51"/>
    <mergeCell ref="V52:AB52"/>
    <mergeCell ref="V53:AB53"/>
    <mergeCell ref="V54:AB54"/>
    <mergeCell ref="V45:AB45"/>
    <mergeCell ref="V46:AB46"/>
    <mergeCell ref="V47:AB47"/>
    <mergeCell ref="V48:AB48"/>
    <mergeCell ref="V49:AB49"/>
    <mergeCell ref="V40:AB40"/>
    <mergeCell ref="V41:AB41"/>
    <mergeCell ref="V42:AB42"/>
    <mergeCell ref="V43:AB43"/>
    <mergeCell ref="V44:AB44"/>
    <mergeCell ref="V35:AB35"/>
    <mergeCell ref="V36:AB36"/>
    <mergeCell ref="V37:AB37"/>
    <mergeCell ref="V38:AB38"/>
    <mergeCell ref="V39:AB39"/>
    <mergeCell ref="V30:AB30"/>
    <mergeCell ref="V31:AB31"/>
    <mergeCell ref="V32:AB32"/>
    <mergeCell ref="V33:AB33"/>
    <mergeCell ref="V34:AB34"/>
    <mergeCell ref="V25:AB25"/>
    <mergeCell ref="V26:AB26"/>
    <mergeCell ref="V27:AB27"/>
    <mergeCell ref="V28:AB28"/>
    <mergeCell ref="V29:AB29"/>
    <mergeCell ref="V20:AB20"/>
    <mergeCell ref="V21:AB21"/>
    <mergeCell ref="V22:AB22"/>
    <mergeCell ref="V23:AB23"/>
    <mergeCell ref="V24:AB24"/>
    <mergeCell ref="V15:AB15"/>
    <mergeCell ref="V16:AB16"/>
    <mergeCell ref="V17:AB17"/>
    <mergeCell ref="V18:AB18"/>
    <mergeCell ref="V19:AB19"/>
    <mergeCell ref="V11:AB11"/>
    <mergeCell ref="V12:AB12"/>
    <mergeCell ref="V13:AB13"/>
    <mergeCell ref="V14:AB14"/>
    <mergeCell ref="Y9:AA9"/>
    <mergeCell ref="F1:T3"/>
    <mergeCell ref="B2:D2"/>
    <mergeCell ref="V2:AB2"/>
    <mergeCell ref="F4:G4"/>
    <mergeCell ref="N4:O4"/>
    <mergeCell ref="B4:D4"/>
    <mergeCell ref="J4:K4"/>
    <mergeCell ref="R4:S4"/>
    <mergeCell ref="V4:AB4"/>
    <mergeCell ref="R6:S6"/>
    <mergeCell ref="C5:D5"/>
    <mergeCell ref="B7:C7"/>
    <mergeCell ref="B8:C8"/>
    <mergeCell ref="B9:C9"/>
    <mergeCell ref="N6:O6"/>
    <mergeCell ref="N7:O7"/>
    <mergeCell ref="F7:G7"/>
    <mergeCell ref="R5:S5"/>
    <mergeCell ref="N8:O8"/>
    <mergeCell ref="H4:I4"/>
    <mergeCell ref="P4:Q4"/>
    <mergeCell ref="F5:G5"/>
    <mergeCell ref="J5:K5"/>
    <mergeCell ref="F6:G6"/>
    <mergeCell ref="J6:K6"/>
    <mergeCell ref="N5:O5"/>
    <mergeCell ref="F37:G37"/>
    <mergeCell ref="H37:I37"/>
    <mergeCell ref="Q37:R37"/>
    <mergeCell ref="F8:G8"/>
    <mergeCell ref="Q8:T8"/>
    <mergeCell ref="B16:C18"/>
    <mergeCell ref="D16:D18"/>
    <mergeCell ref="B10:C10"/>
    <mergeCell ref="K9:O10"/>
    <mergeCell ref="B11:C11"/>
    <mergeCell ref="B13:C13"/>
    <mergeCell ref="S37:T37"/>
    <mergeCell ref="B20:D20"/>
    <mergeCell ref="C21:D21"/>
    <mergeCell ref="B23:C23"/>
    <mergeCell ref="B24:C24"/>
    <mergeCell ref="B25:C25"/>
    <mergeCell ref="B26:C26"/>
    <mergeCell ref="B27:C27"/>
    <mergeCell ref="B29:C29"/>
    <mergeCell ref="B32:C34"/>
    <mergeCell ref="D32:D34"/>
    <mergeCell ref="F26:G26"/>
    <mergeCell ref="Q36:T36"/>
  </mergeCells>
  <conditionalFormatting sqref="K30:L32 M12:M33 N30:O32 L13:L20 N13:N20 G16:K18 O16:S18 H19:K19 O19:R19 I20:K20 O20:Q20">
    <cfRule type="expression" dxfId="4" priority="6">
      <formula>$H$37 = "Top Down"</formula>
    </cfRule>
  </conditionalFormatting>
  <conditionalFormatting sqref="G22:I22 I21 G21 O20:R22 M20:M22 K20:K22 G20:I20 H19:R19 Q18 S14:S21 R16:R18 G23:R24 K25:O25 L26:O26 M27:P27 N28:Q28 O29:Q29">
    <cfRule type="expression" dxfId="3" priority="4">
      <formula>$H$37 = "Side"</formula>
    </cfRule>
  </conditionalFormatting>
  <conditionalFormatting sqref="J17:L17 M13:M17 N17:P17 K18:L18 N18:O18 L19:N23 O22:O23 P22:S22 K22:K23 G22:J22">
    <cfRule type="expression" dxfId="2" priority="3">
      <formula>$H$37 = "Behind"</formula>
    </cfRule>
  </conditionalFormatting>
  <conditionalFormatting sqref="M18 J23 K24 J25:K25 O24:O25 P25 P23">
    <cfRule type="expression" dxfId="1" priority="2">
      <formula>$H$37 = "Behind"</formula>
    </cfRule>
  </conditionalFormatting>
  <conditionalFormatting sqref="J24 P24">
    <cfRule type="expression" dxfId="0" priority="1">
      <formula>$H$37 = "Behind"</formula>
    </cfRule>
  </conditionalFormatting>
  <dataValidations count="1">
    <dataValidation type="list" allowBlank="1" showInputMessage="1" showErrorMessage="1" sqref="Q5:Q6" xr:uid="{00000000-0002-0000-0000-000000000000}">
      <formula1>$A$2:$A$11</formula1>
    </dataValidation>
  </dataValidations>
  <pageMargins left="0.7" right="0.7" top="0.75" bottom="0.75" header="0.3" footer="0.3"/>
  <pageSetup orientation="portrait" r:id="rId1"/>
  <headerFooter>
    <oddFooter>&amp;C_x000D_&amp;1#&amp;"Calibri"&amp;10&amp;K000000 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TopPOV">
                <anchor moveWithCells="1" sizeWithCells="1">
                  <from>
                    <xdr:col>5</xdr:col>
                    <xdr:colOff>144780</xdr:colOff>
                    <xdr:row>26</xdr:row>
                    <xdr:rowOff>137160</xdr:rowOff>
                  </from>
                  <to>
                    <xdr:col>6</xdr:col>
                    <xdr:colOff>769620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SidePOV">
                <anchor moveWithCells="1" sizeWithCells="1">
                  <from>
                    <xdr:col>5</xdr:col>
                    <xdr:colOff>121920</xdr:colOff>
                    <xdr:row>29</xdr:row>
                    <xdr:rowOff>121920</xdr:rowOff>
                  </from>
                  <to>
                    <xdr:col>6</xdr:col>
                    <xdr:colOff>754380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BehindPOV">
                <anchor moveWithCells="1" sizeWithCells="1">
                  <from>
                    <xdr:col>5</xdr:col>
                    <xdr:colOff>121920</xdr:colOff>
                    <xdr:row>32</xdr:row>
                    <xdr:rowOff>137160</xdr:rowOff>
                  </from>
                  <to>
                    <xdr:col>6</xdr:col>
                    <xdr:colOff>754380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moveImage">
                <anchor moveWithCells="1" sizeWithCells="1">
                  <from>
                    <xdr:col>5</xdr:col>
                    <xdr:colOff>68580</xdr:colOff>
                    <xdr:row>8</xdr:row>
                    <xdr:rowOff>83820</xdr:rowOff>
                  </from>
                  <to>
                    <xdr:col>7</xdr:col>
                    <xdr:colOff>121920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Shred1">
              <controlPr defaultSize="0" autoFill="0" autoLine="0" autoPict="0">
                <anchor moveWithCells="1">
                  <from>
                    <xdr:col>1</xdr:col>
                    <xdr:colOff>182880</xdr:colOff>
                    <xdr:row>13</xdr:row>
                    <xdr:rowOff>83820</xdr:rowOff>
                  </from>
                  <to>
                    <xdr:col>1</xdr:col>
                    <xdr:colOff>556260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Pierce1">
              <controlPr defaultSize="0" autoFill="0" autoLine="0" autoPict="0">
                <anchor moveWithCells="1">
                  <from>
                    <xdr:col>2</xdr:col>
                    <xdr:colOff>76200</xdr:colOff>
                    <xdr:row>13</xdr:row>
                    <xdr:rowOff>83820</xdr:rowOff>
                  </from>
                  <to>
                    <xdr:col>2</xdr:col>
                    <xdr:colOff>449580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rn1">
              <controlPr defaultSize="0" autoFill="0" autoLine="0" autoPict="0">
                <anchor moveWithCells="1">
                  <from>
                    <xdr:col>2</xdr:col>
                    <xdr:colOff>594360</xdr:colOff>
                    <xdr:row>13</xdr:row>
                    <xdr:rowOff>83820</xdr:rowOff>
                  </from>
                  <to>
                    <xdr:col>3</xdr:col>
                    <xdr:colOff>365760</xdr:colOff>
                    <xdr:row>14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Shred2">
              <controlPr defaultSize="0" autoFill="0" autoLine="0" autoPict="0">
                <anchor moveWithCells="1">
                  <from>
                    <xdr:col>1</xdr:col>
                    <xdr:colOff>182880</xdr:colOff>
                    <xdr:row>29</xdr:row>
                    <xdr:rowOff>99060</xdr:rowOff>
                  </from>
                  <to>
                    <xdr:col>1</xdr:col>
                    <xdr:colOff>556260</xdr:colOff>
                    <xdr:row>30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2" name="Pierce2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99060</xdr:rowOff>
                  </from>
                  <to>
                    <xdr:col>2</xdr:col>
                    <xdr:colOff>449580</xdr:colOff>
                    <xdr:row>30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3" name="Burn2">
              <controlPr defaultSize="0" autoFill="0" autoLine="0" autoPict="0">
                <anchor moveWithCells="1">
                  <from>
                    <xdr:col>2</xdr:col>
                    <xdr:colOff>579120</xdr:colOff>
                    <xdr:row>29</xdr:row>
                    <xdr:rowOff>99060</xdr:rowOff>
                  </from>
                  <to>
                    <xdr:col>3</xdr:col>
                    <xdr:colOff>365760</xdr:colOff>
                    <xdr:row>30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4" name="Button 35">
              <controlPr defaultSize="0" print="0" autoFill="0" autoPict="0" macro="[0]!Reset">
                <anchor moveWithCells="1" sizeWithCells="1">
                  <from>
                    <xdr:col>17</xdr:col>
                    <xdr:colOff>601980</xdr:colOff>
                    <xdr:row>8</xdr:row>
                    <xdr:rowOff>60960</xdr:rowOff>
                  </from>
                  <to>
                    <xdr:col>19</xdr:col>
                    <xdr:colOff>693420</xdr:colOff>
                    <xdr:row>10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1000000}">
          <x14:formula1>
            <xm:f>'Data Validation'!$A$2:$A$4</xm:f>
          </x14:formula1>
          <xm:sqref>H37:I37</xm:sqref>
        </x14:dataValidation>
        <x14:dataValidation type="list" allowBlank="1" showInputMessage="1" showErrorMessage="1" xr:uid="{00000000-0002-0000-0000-000002000000}">
          <x14:formula1>
            <xm:f>Planes!$A$2:$A$11</xm:f>
          </x14:formula1>
          <xm:sqref>I5:I6</xm:sqref>
        </x14:dataValidation>
        <x14:dataValidation type="list" allowBlank="1" showInputMessage="1" showErrorMessage="1" xr:uid="{00000000-0002-0000-0000-000003000000}">
          <x14:formula1>
            <xm:f>'Machine Guns'!$A$2:$A$16</xm:f>
          </x14:formula1>
          <xm:sqref>C5:D5</xm:sqref>
        </x14:dataValidation>
        <x14:dataValidation type="list" allowBlank="1" showInputMessage="1" showErrorMessage="1" xr:uid="{00000000-0002-0000-0000-000004000000}">
          <x14:formula1>
            <xm:f>Planes!$A$2:$A$25</xm:f>
          </x14:formula1>
          <xm:sqref>H4:I4</xm:sqref>
        </x14:dataValidation>
        <x14:dataValidation type="list" allowBlank="1" showInputMessage="1" showErrorMessage="1" xr:uid="{00000000-0002-0000-0000-000005000000}">
          <x14:formula1>
            <xm:f>Planes!$A$2:$A$21</xm:f>
          </x14:formula1>
          <xm:sqref>P4:Q4</xm:sqref>
        </x14:dataValidation>
        <x14:dataValidation type="list" allowBlank="1" showInputMessage="1" showErrorMessage="1" xr:uid="{00000000-0002-0000-0000-000006000000}">
          <x14:formula1>
            <xm:f>'Machine Guns'!$A$2:$A$14</xm:f>
          </x14:formula1>
          <xm:sqref>C21:D21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/>
  </sheetPr>
  <dimension ref="A1:N5"/>
  <sheetViews>
    <sheetView workbookViewId="0">
      <selection activeCell="K6" sqref="K6"/>
    </sheetView>
  </sheetViews>
  <sheetFormatPr defaultRowHeight="14.4" x14ac:dyDescent="0.3"/>
  <cols>
    <col min="1" max="2" width="18.6640625" customWidth="1"/>
    <col min="3" max="3" width="14" customWidth="1"/>
    <col min="4" max="4" width="16" customWidth="1"/>
    <col min="5" max="5" width="17.88671875" customWidth="1"/>
    <col min="6" max="7" width="14" customWidth="1"/>
    <col min="8" max="8" width="14.109375" customWidth="1"/>
    <col min="9" max="9" width="17" customWidth="1"/>
    <col min="10" max="10" width="13.5546875" customWidth="1"/>
    <col min="11" max="11" width="14" customWidth="1"/>
    <col min="12" max="12" width="16.109375" customWidth="1"/>
    <col min="13" max="14" width="15.109375" customWidth="1"/>
    <col min="15" max="15" width="12.88671875" customWidth="1"/>
  </cols>
  <sheetData>
    <row r="1" spans="1:14" s="2" customFormat="1" x14ac:dyDescent="0.3">
      <c r="A1" s="1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  <c r="G1" s="1" t="s">
        <v>95</v>
      </c>
      <c r="H1" s="1" t="s">
        <v>96</v>
      </c>
      <c r="I1" s="1" t="s">
        <v>97</v>
      </c>
      <c r="J1" s="1" t="s">
        <v>98</v>
      </c>
      <c r="K1" s="1" t="s">
        <v>99</v>
      </c>
      <c r="L1" s="1" t="s">
        <v>100</v>
      </c>
      <c r="M1" s="1" t="s">
        <v>101</v>
      </c>
      <c r="N1" s="1" t="s">
        <v>102</v>
      </c>
    </row>
    <row r="2" spans="1:14" x14ac:dyDescent="0.3">
      <c r="A2" t="s">
        <v>5</v>
      </c>
      <c r="B2">
        <v>800</v>
      </c>
      <c r="C2">
        <v>750</v>
      </c>
      <c r="D2">
        <v>8</v>
      </c>
      <c r="E2">
        <v>15</v>
      </c>
      <c r="F2">
        <v>6</v>
      </c>
      <c r="G2">
        <v>10</v>
      </c>
      <c r="H2">
        <v>11</v>
      </c>
      <c r="I2">
        <v>220</v>
      </c>
      <c r="J2">
        <v>150</v>
      </c>
      <c r="K2">
        <v>102</v>
      </c>
      <c r="L2">
        <v>2</v>
      </c>
      <c r="M2">
        <v>20</v>
      </c>
      <c r="N2">
        <v>0</v>
      </c>
    </row>
    <row r="3" spans="1:14" x14ac:dyDescent="0.3">
      <c r="A3" t="s">
        <v>103</v>
      </c>
      <c r="B3">
        <v>920</v>
      </c>
      <c r="C3">
        <v>650</v>
      </c>
      <c r="D3">
        <v>9</v>
      </c>
      <c r="E3">
        <v>16</v>
      </c>
      <c r="F3">
        <v>7</v>
      </c>
      <c r="G3">
        <v>11</v>
      </c>
      <c r="H3">
        <v>9</v>
      </c>
      <c r="I3">
        <v>200</v>
      </c>
      <c r="J3">
        <v>169</v>
      </c>
      <c r="K3">
        <v>98</v>
      </c>
      <c r="L3">
        <v>2</v>
      </c>
      <c r="M3">
        <v>19</v>
      </c>
      <c r="N3">
        <v>1</v>
      </c>
    </row>
    <row r="4" spans="1:14" x14ac:dyDescent="0.3">
      <c r="A4" t="s">
        <v>104</v>
      </c>
      <c r="B4">
        <v>1000</v>
      </c>
      <c r="C4">
        <v>1000</v>
      </c>
      <c r="D4">
        <v>5</v>
      </c>
      <c r="E4">
        <v>10</v>
      </c>
      <c r="F4">
        <v>3</v>
      </c>
      <c r="G4">
        <v>6</v>
      </c>
      <c r="H4">
        <v>5</v>
      </c>
      <c r="I4">
        <v>225</v>
      </c>
      <c r="J4">
        <v>137</v>
      </c>
      <c r="K4">
        <v>150</v>
      </c>
      <c r="L4">
        <v>3</v>
      </c>
      <c r="M4">
        <v>30</v>
      </c>
      <c r="N4">
        <v>0</v>
      </c>
    </row>
    <row r="5" spans="1:14" x14ac:dyDescent="0.3">
      <c r="A5" t="s">
        <v>8</v>
      </c>
      <c r="B5">
        <v>1250</v>
      </c>
      <c r="C5">
        <v>750</v>
      </c>
      <c r="D5">
        <v>10</v>
      </c>
      <c r="E5">
        <v>30</v>
      </c>
      <c r="F5">
        <v>10</v>
      </c>
      <c r="G5">
        <v>15</v>
      </c>
      <c r="H5">
        <v>15</v>
      </c>
      <c r="I5">
        <v>350</v>
      </c>
      <c r="J5">
        <v>300</v>
      </c>
      <c r="K5">
        <v>100</v>
      </c>
      <c r="L5">
        <v>0</v>
      </c>
      <c r="M5">
        <v>10</v>
      </c>
      <c r="N5">
        <v>3</v>
      </c>
    </row>
  </sheetData>
  <pageMargins left="0.7" right="0.7" top="0.75" bottom="0.75" header="0.3" footer="0.3"/>
  <pageSetup orientation="portrait" r:id="rId1"/>
  <headerFooter>
    <oddFooter>&amp;C_x000D_&amp;1#&amp;"Calibri"&amp;10&amp;K000000 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autoPageBreaks="0"/>
  </sheetPr>
  <dimension ref="A1:F5"/>
  <sheetViews>
    <sheetView zoomScaleNormal="100" workbookViewId="0">
      <selection activeCell="C6" sqref="C6"/>
    </sheetView>
  </sheetViews>
  <sheetFormatPr defaultRowHeight="14.4" x14ac:dyDescent="0.3"/>
  <cols>
    <col min="1" max="1" width="15.33203125" customWidth="1"/>
    <col min="2" max="2" width="13.44140625" customWidth="1"/>
    <col min="3" max="3" width="17.6640625" customWidth="1"/>
    <col min="4" max="4" width="16.5546875" customWidth="1"/>
    <col min="5" max="5" width="15.33203125" customWidth="1"/>
    <col min="6" max="6" width="13.6640625" customWidth="1"/>
  </cols>
  <sheetData>
    <row r="1" spans="1:6" s="1" customFormat="1" x14ac:dyDescent="0.3">
      <c r="A1" s="1" t="s">
        <v>89</v>
      </c>
      <c r="B1" s="1" t="s">
        <v>105</v>
      </c>
      <c r="C1" s="1" t="s">
        <v>106</v>
      </c>
      <c r="D1" s="1" t="s">
        <v>107</v>
      </c>
      <c r="E1" s="1" t="s">
        <v>108</v>
      </c>
      <c r="F1" s="1" t="s">
        <v>109</v>
      </c>
    </row>
    <row r="2" spans="1:6" x14ac:dyDescent="0.3">
      <c r="A2" t="s">
        <v>110</v>
      </c>
      <c r="B2">
        <v>11</v>
      </c>
      <c r="C2">
        <v>15</v>
      </c>
      <c r="D2">
        <v>500</v>
      </c>
      <c r="E2">
        <v>20</v>
      </c>
      <c r="F2">
        <v>20</v>
      </c>
    </row>
    <row r="3" spans="1:6" x14ac:dyDescent="0.3">
      <c r="A3" t="s">
        <v>111</v>
      </c>
      <c r="B3">
        <v>14</v>
      </c>
      <c r="C3">
        <v>20</v>
      </c>
      <c r="D3">
        <v>350</v>
      </c>
      <c r="E3">
        <v>25</v>
      </c>
      <c r="F3">
        <v>30</v>
      </c>
    </row>
    <row r="4" spans="1:6" x14ac:dyDescent="0.3">
      <c r="A4" t="s">
        <v>112</v>
      </c>
      <c r="B4">
        <v>14</v>
      </c>
      <c r="C4">
        <v>25</v>
      </c>
      <c r="D4">
        <v>300</v>
      </c>
      <c r="E4">
        <v>5</v>
      </c>
      <c r="F4">
        <v>50</v>
      </c>
    </row>
    <row r="5" spans="1:6" x14ac:dyDescent="0.3">
      <c r="A5" t="s">
        <v>11</v>
      </c>
      <c r="B5">
        <v>1</v>
      </c>
      <c r="C5">
        <v>20</v>
      </c>
      <c r="D5">
        <v>100</v>
      </c>
      <c r="E5">
        <v>12</v>
      </c>
      <c r="F5">
        <v>50</v>
      </c>
    </row>
  </sheetData>
  <pageMargins left="0.7" right="0.7" top="0.75" bottom="0.75" header="0.3" footer="0.3"/>
  <pageSetup orientation="portrait" r:id="rId1"/>
  <headerFooter>
    <oddFooter>&amp;C_x000D_&amp;1#&amp;"Calibri"&amp;10&amp;K000000 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  <headerFooter>
    <oddFooter>&amp;C_x000D_&amp;1#&amp;"Calibri"&amp;10&amp;K000000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autoPageBreaks="0"/>
  </sheetPr>
  <dimension ref="A1:C10"/>
  <sheetViews>
    <sheetView workbookViewId="0">
      <selection activeCell="C23" sqref="C23"/>
    </sheetView>
  </sheetViews>
  <sheetFormatPr defaultRowHeight="14.4" x14ac:dyDescent="0.3"/>
  <cols>
    <col min="1" max="1" width="22.44140625" customWidth="1"/>
    <col min="2" max="2" width="36.5546875" customWidth="1"/>
    <col min="3" max="3" width="138.6640625" customWidth="1"/>
  </cols>
  <sheetData>
    <row r="1" spans="1:3" x14ac:dyDescent="0.3">
      <c r="A1" s="16" t="s">
        <v>89</v>
      </c>
      <c r="B1" s="17" t="s">
        <v>113</v>
      </c>
      <c r="C1" s="18" t="s">
        <v>114</v>
      </c>
    </row>
    <row r="2" spans="1:3" ht="15" customHeight="1" x14ac:dyDescent="0.3">
      <c r="A2" s="4" t="s">
        <v>115</v>
      </c>
      <c r="B2" s="150" t="s">
        <v>116</v>
      </c>
      <c r="C2" s="148" t="s">
        <v>117</v>
      </c>
    </row>
    <row r="3" spans="1:3" x14ac:dyDescent="0.3">
      <c r="A3" s="4"/>
      <c r="B3" s="150"/>
      <c r="C3" s="148"/>
    </row>
    <row r="4" spans="1:3" x14ac:dyDescent="0.3">
      <c r="A4" s="4"/>
      <c r="B4" s="150"/>
      <c r="C4" s="148"/>
    </row>
    <row r="5" spans="1:3" x14ac:dyDescent="0.3">
      <c r="A5" s="4"/>
      <c r="C5" s="148"/>
    </row>
    <row r="6" spans="1:3" x14ac:dyDescent="0.3">
      <c r="A6" s="4"/>
      <c r="C6" s="148"/>
    </row>
    <row r="7" spans="1:3" x14ac:dyDescent="0.3">
      <c r="A7" s="4"/>
      <c r="C7" s="148"/>
    </row>
    <row r="8" spans="1:3" x14ac:dyDescent="0.3">
      <c r="A8" s="4"/>
      <c r="C8" s="148"/>
    </row>
    <row r="9" spans="1:3" x14ac:dyDescent="0.3">
      <c r="A9" s="4"/>
      <c r="C9" s="148"/>
    </row>
    <row r="10" spans="1:3" x14ac:dyDescent="0.3">
      <c r="A10" s="19"/>
      <c r="B10" s="20"/>
      <c r="C10" s="149"/>
    </row>
  </sheetData>
  <mergeCells count="2">
    <mergeCell ref="C2:C10"/>
    <mergeCell ref="B2:B4"/>
  </mergeCells>
  <pageMargins left="0.7" right="0.7" top="0.75" bottom="0.75" header="0.3" footer="0.3"/>
  <pageSetup orientation="portrait" r:id="rId1"/>
  <headerFooter>
    <oddFooter>&amp;C_x000D_&amp;1#&amp;"Calibri"&amp;10&amp;K000000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4"/>
  <sheetViews>
    <sheetView workbookViewId="0">
      <selection activeCell="B8" sqref="B8"/>
    </sheetView>
  </sheetViews>
  <sheetFormatPr defaultRowHeight="14.4" x14ac:dyDescent="0.3"/>
  <cols>
    <col min="1" max="1" width="15.88671875" customWidth="1"/>
  </cols>
  <sheetData>
    <row r="1" spans="1:1" ht="24.75" customHeight="1" x14ac:dyDescent="0.3">
      <c r="A1" s="14" t="s">
        <v>118</v>
      </c>
    </row>
    <row r="2" spans="1:1" x14ac:dyDescent="0.3">
      <c r="A2" t="s">
        <v>44</v>
      </c>
    </row>
    <row r="3" spans="1:1" x14ac:dyDescent="0.3">
      <c r="A3" t="s">
        <v>119</v>
      </c>
    </row>
    <row r="4" spans="1:1" x14ac:dyDescent="0.3">
      <c r="A4" t="s">
        <v>120</v>
      </c>
    </row>
  </sheetData>
  <pageMargins left="0.7" right="0.7" top="0.75" bottom="0.75" header="0.3" footer="0.3"/>
  <pageSetup orientation="portrait" r:id="rId1"/>
  <headerFooter>
    <oddFooter>&amp;C_x000D_&amp;1#&amp;"Calibri"&amp;10&amp;K000000 Confidential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Simulator</vt:lpstr>
      <vt:lpstr>Planes</vt:lpstr>
      <vt:lpstr>Machine Guns</vt:lpstr>
      <vt:lpstr>%toHit</vt:lpstr>
      <vt:lpstr>Formulas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Sage Severson</dc:creator>
  <cp:keywords/>
  <dc:description/>
  <cp:lastModifiedBy>Sage Severson</cp:lastModifiedBy>
  <cp:revision/>
  <dcterms:created xsi:type="dcterms:W3CDTF">2022-10-25T01:11:34Z</dcterms:created>
  <dcterms:modified xsi:type="dcterms:W3CDTF">2024-08-25T02:56:26Z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7d2809e-9ba0-4776-8435-02f13d22733b_Enabled">
    <vt:lpwstr>true</vt:lpwstr>
  </property>
  <property fmtid="{D5CDD505-2E9C-101B-9397-08002B2CF9AE}" pid="3" name="MSIP_Label_b7d2809e-9ba0-4776-8435-02f13d22733b_SetDate">
    <vt:lpwstr>2022-10-27T04:07:13Z</vt:lpwstr>
  </property>
  <property fmtid="{D5CDD505-2E9C-101B-9397-08002B2CF9AE}" pid="4" name="MSIP_Label_b7d2809e-9ba0-4776-8435-02f13d22733b_Method">
    <vt:lpwstr>Privileged</vt:lpwstr>
  </property>
  <property fmtid="{D5CDD505-2E9C-101B-9397-08002B2CF9AE}" pid="5" name="MSIP_Label_b7d2809e-9ba0-4776-8435-02f13d22733b_Name">
    <vt:lpwstr>Strictly Confidential</vt:lpwstr>
  </property>
  <property fmtid="{D5CDD505-2E9C-101B-9397-08002B2CF9AE}" pid="6" name="MSIP_Label_b7d2809e-9ba0-4776-8435-02f13d22733b_SiteId">
    <vt:lpwstr>cb7220b2-13d6-4f28-a895-fe9733df80d1</vt:lpwstr>
  </property>
  <property fmtid="{D5CDD505-2E9C-101B-9397-08002B2CF9AE}" pid="7" name="MSIP_Label_b7d2809e-9ba0-4776-8435-02f13d22733b_ActionId">
    <vt:lpwstr>0d4315bd-0800-467a-9e4c-66fa82dbe98d</vt:lpwstr>
  </property>
  <property fmtid="{D5CDD505-2E9C-101B-9397-08002B2CF9AE}" pid="8" name="MSIP_Label_b7d2809e-9ba0-4776-8435-02f13d22733b_ContentBits">
    <vt:lpwstr>2</vt:lpwstr>
  </property>
  <property fmtid="{D5CDD505-2E9C-101B-9397-08002B2CF9AE}" pid="9" name="MSIP_Label_8c3714ad-1062-470c-b48e-9dbc8ea18958_Enabled">
    <vt:lpwstr>true</vt:lpwstr>
  </property>
  <property fmtid="{D5CDD505-2E9C-101B-9397-08002B2CF9AE}" pid="10" name="MSIP_Label_8c3714ad-1062-470c-b48e-9dbc8ea18958_SetDate">
    <vt:lpwstr>2024-02-01T03:52:59Z</vt:lpwstr>
  </property>
  <property fmtid="{D5CDD505-2E9C-101B-9397-08002B2CF9AE}" pid="11" name="MSIP_Label_8c3714ad-1062-470c-b48e-9dbc8ea18958_Method">
    <vt:lpwstr>Privileged</vt:lpwstr>
  </property>
  <property fmtid="{D5CDD505-2E9C-101B-9397-08002B2CF9AE}" pid="12" name="MSIP_Label_8c3714ad-1062-470c-b48e-9dbc8ea18958_Name">
    <vt:lpwstr>Confidential_sub</vt:lpwstr>
  </property>
  <property fmtid="{D5CDD505-2E9C-101B-9397-08002B2CF9AE}" pid="13" name="MSIP_Label_8c3714ad-1062-470c-b48e-9dbc8ea18958_SiteId">
    <vt:lpwstr>5a5c4bcf-d285-44af-8f19-ca72d454f6f7</vt:lpwstr>
  </property>
  <property fmtid="{D5CDD505-2E9C-101B-9397-08002B2CF9AE}" pid="14" name="MSIP_Label_8c3714ad-1062-470c-b48e-9dbc8ea18958_ActionId">
    <vt:lpwstr>d619bd50-0af9-45a6-a519-1504088cf78f</vt:lpwstr>
  </property>
  <property fmtid="{D5CDD505-2E9C-101B-9397-08002B2CF9AE}" pid="15" name="MSIP_Label_8c3714ad-1062-470c-b48e-9dbc8ea18958_ContentBits">
    <vt:lpwstr>2</vt:lpwstr>
  </property>
</Properties>
</file>